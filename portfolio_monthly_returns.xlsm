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70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ichard\Documents\MIT Courses\18.642 Topics in Mathematics with Applications in Finance\"/>
    </mc:Choice>
  </mc:AlternateContent>
  <xr:revisionPtr revIDLastSave="0" documentId="13_ncr:40009_{70D7D1CE-419B-498F-BAF9-A740A9FB83D9}" xr6:coauthVersionLast="47" xr6:coauthVersionMax="47" xr10:uidLastSave="{00000000-0000-0000-0000-000000000000}"/>
  <bookViews>
    <workbookView xWindow="-120" yWindow="-120" windowWidth="29040" windowHeight="15840" activeTab="3"/>
  </bookViews>
  <sheets>
    <sheet name="portfolio_monthly_returns " sheetId="2" r:id="rId1"/>
    <sheet name="original data" sheetId="3" r:id="rId2"/>
    <sheet name="old" sheetId="1" r:id="rId3"/>
    <sheet name="annual returns" sheetId="4" r:id="rId4"/>
  </sheets>
  <calcPr calcId="0"/>
</workbook>
</file>

<file path=xl/calcChain.xml><?xml version="1.0" encoding="utf-8"?>
<calcChain xmlns="http://schemas.openxmlformats.org/spreadsheetml/2006/main">
  <c r="C18" i="4" l="1"/>
  <c r="D18" i="4"/>
  <c r="B18" i="4"/>
  <c r="B194" i="2" a="1"/>
  <c r="B194" i="2" s="1"/>
  <c r="AI209" i="1" a="1"/>
  <c r="AI209" i="1" s="1"/>
  <c r="AH209" i="1" a="1"/>
  <c r="AH209" i="1" s="1"/>
  <c r="AG209" i="1" a="1"/>
  <c r="AG209" i="1" s="1"/>
  <c r="AF209" i="1" a="1"/>
  <c r="AF209" i="1" s="1"/>
  <c r="AE209" i="1" a="1"/>
  <c r="AE209" i="1" s="1"/>
  <c r="AD209" i="1" a="1"/>
  <c r="AD209" i="1" s="1"/>
  <c r="AC209" i="1" a="1"/>
  <c r="AC209" i="1" s="1"/>
  <c r="AB209" i="1" a="1"/>
  <c r="AB209" i="1" s="1"/>
  <c r="AA209" i="1" a="1"/>
  <c r="AA209" i="1" s="1"/>
  <c r="Z209" i="1" a="1"/>
  <c r="Z209" i="1" s="1"/>
  <c r="Y209" i="1" a="1"/>
  <c r="Y209" i="1" s="1"/>
  <c r="X209" i="1" a="1"/>
  <c r="X209" i="1" s="1"/>
  <c r="W209" i="1" a="1"/>
  <c r="W209" i="1" s="1"/>
  <c r="V209" i="1" a="1"/>
  <c r="V209" i="1" s="1"/>
  <c r="U209" i="1" a="1"/>
  <c r="U209" i="1" s="1"/>
  <c r="T209" i="1" a="1"/>
  <c r="T209" i="1" s="1"/>
  <c r="S209" i="1" a="1"/>
  <c r="S209" i="1" s="1"/>
  <c r="R209" i="1" a="1"/>
  <c r="R209" i="1" s="1"/>
  <c r="Q209" i="1" a="1"/>
  <c r="Q209" i="1" s="1"/>
  <c r="P209" i="1" a="1"/>
  <c r="P209" i="1" s="1"/>
  <c r="O209" i="1" a="1"/>
  <c r="O209" i="1" s="1"/>
  <c r="N209" i="1" a="1"/>
  <c r="N209" i="1" s="1"/>
  <c r="M209" i="1" a="1"/>
  <c r="M209" i="1" s="1"/>
  <c r="L209" i="1" a="1"/>
  <c r="L209" i="1" s="1"/>
  <c r="K209" i="1" a="1"/>
  <c r="K209" i="1" s="1"/>
  <c r="J209" i="1" a="1"/>
  <c r="J209" i="1" s="1"/>
  <c r="I209" i="1" a="1"/>
  <c r="I209" i="1" s="1"/>
  <c r="H209" i="1" a="1"/>
  <c r="H209" i="1" s="1"/>
  <c r="G209" i="1" a="1"/>
  <c r="G209" i="1" s="1"/>
  <c r="F209" i="1" a="1"/>
  <c r="F209" i="1" s="1"/>
  <c r="E209" i="1" a="1"/>
  <c r="E209" i="1" s="1"/>
  <c r="D209" i="1" a="1"/>
  <c r="D209" i="1" s="1"/>
  <c r="C209" i="1" a="1"/>
  <c r="C209" i="1" s="1"/>
  <c r="B209" i="1" a="1"/>
  <c r="B209" i="1" s="1"/>
  <c r="A209" i="1"/>
  <c r="AI196" i="1" a="1"/>
  <c r="AI196" i="1" s="1"/>
  <c r="AH196" i="1" a="1"/>
  <c r="AH196" i="1" s="1"/>
  <c r="AG196" i="1" a="1"/>
  <c r="AG196" i="1" s="1"/>
  <c r="AF196" i="1" a="1"/>
  <c r="AF196" i="1" s="1"/>
  <c r="AE196" i="1" a="1"/>
  <c r="AE196" i="1" s="1"/>
  <c r="AD196" i="1" a="1"/>
  <c r="AD196" i="1" s="1"/>
  <c r="AC196" i="1" a="1"/>
  <c r="AC196" i="1" s="1"/>
  <c r="AB196" i="1" a="1"/>
  <c r="AB196" i="1" s="1"/>
  <c r="AA196" i="1" a="1"/>
  <c r="AA196" i="1" s="1"/>
  <c r="Z196" i="1" a="1"/>
  <c r="Z196" i="1" s="1"/>
  <c r="Y196" i="1" a="1"/>
  <c r="Y196" i="1" s="1"/>
  <c r="X196" i="1" a="1"/>
  <c r="X196" i="1" s="1"/>
  <c r="W196" i="1" a="1"/>
  <c r="W196" i="1" s="1"/>
  <c r="V196" i="1" a="1"/>
  <c r="V196" i="1" s="1"/>
  <c r="U196" i="1" a="1"/>
  <c r="U196" i="1" s="1"/>
  <c r="T196" i="1" a="1"/>
  <c r="T196" i="1" s="1"/>
  <c r="S196" i="1" a="1"/>
  <c r="S196" i="1" s="1"/>
  <c r="R196" i="1" a="1"/>
  <c r="R196" i="1" s="1"/>
  <c r="Q196" i="1" a="1"/>
  <c r="Q196" i="1" s="1"/>
  <c r="P196" i="1" a="1"/>
  <c r="P196" i="1" s="1"/>
  <c r="O196" i="1" a="1"/>
  <c r="O196" i="1" s="1"/>
  <c r="N196" i="1" a="1"/>
  <c r="N196" i="1" s="1"/>
  <c r="M196" i="1" a="1"/>
  <c r="M196" i="1" s="1"/>
  <c r="L196" i="1" a="1"/>
  <c r="L196" i="1" s="1"/>
  <c r="K196" i="1" a="1"/>
  <c r="K196" i="1" s="1"/>
  <c r="J196" i="1" a="1"/>
  <c r="J196" i="1" s="1"/>
  <c r="I196" i="1" a="1"/>
  <c r="I196" i="1" s="1"/>
  <c r="H196" i="1" a="1"/>
  <c r="H196" i="1" s="1"/>
  <c r="G196" i="1" a="1"/>
  <c r="G196" i="1" s="1"/>
  <c r="F196" i="1" a="1"/>
  <c r="F196" i="1" s="1"/>
  <c r="E196" i="1" a="1"/>
  <c r="E196" i="1" s="1"/>
  <c r="D196" i="1" a="1"/>
  <c r="D196" i="1" s="1"/>
  <c r="C196" i="1" a="1"/>
  <c r="C196" i="1" s="1"/>
  <c r="B196" i="1" a="1"/>
  <c r="B196" i="1" s="1"/>
  <c r="A196" i="1"/>
  <c r="AI183" i="1" a="1"/>
  <c r="AI183" i="1" s="1"/>
  <c r="AH183" i="1" a="1"/>
  <c r="AH183" i="1" s="1"/>
  <c r="AG183" i="1" a="1"/>
  <c r="AG183" i="1" s="1"/>
  <c r="AF183" i="1" a="1"/>
  <c r="AF183" i="1" s="1"/>
  <c r="AE183" i="1" a="1"/>
  <c r="AE183" i="1" s="1"/>
  <c r="AD183" i="1" a="1"/>
  <c r="AD183" i="1" s="1"/>
  <c r="AC183" i="1" a="1"/>
  <c r="AC183" i="1" s="1"/>
  <c r="AB183" i="1" a="1"/>
  <c r="AB183" i="1" s="1"/>
  <c r="AA183" i="1" a="1"/>
  <c r="AA183" i="1" s="1"/>
  <c r="Z183" i="1" a="1"/>
  <c r="Z183" i="1" s="1"/>
  <c r="Y183" i="1" a="1"/>
  <c r="Y183" i="1" s="1"/>
  <c r="X183" i="1" a="1"/>
  <c r="X183" i="1" s="1"/>
  <c r="W183" i="1" a="1"/>
  <c r="W183" i="1" s="1"/>
  <c r="V183" i="1" a="1"/>
  <c r="V183" i="1" s="1"/>
  <c r="U183" i="1" a="1"/>
  <c r="U183" i="1" s="1"/>
  <c r="T183" i="1" a="1"/>
  <c r="T183" i="1" s="1"/>
  <c r="S183" i="1" a="1"/>
  <c r="S183" i="1" s="1"/>
  <c r="R183" i="1" a="1"/>
  <c r="R183" i="1" s="1"/>
  <c r="Q183" i="1" a="1"/>
  <c r="Q183" i="1" s="1"/>
  <c r="P183" i="1" a="1"/>
  <c r="P183" i="1" s="1"/>
  <c r="O183" i="1" a="1"/>
  <c r="O183" i="1" s="1"/>
  <c r="N183" i="1" a="1"/>
  <c r="N183" i="1" s="1"/>
  <c r="M183" i="1" a="1"/>
  <c r="M183" i="1" s="1"/>
  <c r="L183" i="1" a="1"/>
  <c r="L183" i="1" s="1"/>
  <c r="K183" i="1" a="1"/>
  <c r="K183" i="1" s="1"/>
  <c r="J183" i="1" a="1"/>
  <c r="J183" i="1" s="1"/>
  <c r="I183" i="1" a="1"/>
  <c r="I183" i="1" s="1"/>
  <c r="H183" i="1" a="1"/>
  <c r="H183" i="1" s="1"/>
  <c r="G183" i="1" a="1"/>
  <c r="G183" i="1" s="1"/>
  <c r="F183" i="1" a="1"/>
  <c r="F183" i="1" s="1"/>
  <c r="E183" i="1" a="1"/>
  <c r="E183" i="1" s="1"/>
  <c r="D183" i="1" a="1"/>
  <c r="D183" i="1" s="1"/>
  <c r="C183" i="1" a="1"/>
  <c r="C183" i="1" s="1"/>
  <c r="B183" i="1" a="1"/>
  <c r="B183" i="1" s="1"/>
  <c r="A183" i="1"/>
  <c r="AI170" i="1" a="1"/>
  <c r="AI170" i="1" s="1"/>
  <c r="AH170" i="1" a="1"/>
  <c r="AH170" i="1" s="1"/>
  <c r="AG170" i="1" a="1"/>
  <c r="AG170" i="1" s="1"/>
  <c r="AF170" i="1" a="1"/>
  <c r="AF170" i="1" s="1"/>
  <c r="AE170" i="1" a="1"/>
  <c r="AE170" i="1" s="1"/>
  <c r="AD170" i="1" a="1"/>
  <c r="AD170" i="1" s="1"/>
  <c r="AC170" i="1" a="1"/>
  <c r="AC170" i="1" s="1"/>
  <c r="AB170" i="1" a="1"/>
  <c r="AB170" i="1" s="1"/>
  <c r="AA170" i="1" a="1"/>
  <c r="AA170" i="1" s="1"/>
  <c r="Z170" i="1" a="1"/>
  <c r="Z170" i="1" s="1"/>
  <c r="Y170" i="1" a="1"/>
  <c r="Y170" i="1" s="1"/>
  <c r="X170" i="1" a="1"/>
  <c r="X170" i="1" s="1"/>
  <c r="W170" i="1" a="1"/>
  <c r="W170" i="1" s="1"/>
  <c r="V170" i="1" a="1"/>
  <c r="V170" i="1" s="1"/>
  <c r="U170" i="1" a="1"/>
  <c r="U170" i="1" s="1"/>
  <c r="T170" i="1" a="1"/>
  <c r="T170" i="1" s="1"/>
  <c r="S170" i="1" a="1"/>
  <c r="S170" i="1" s="1"/>
  <c r="R170" i="1" a="1"/>
  <c r="R170" i="1" s="1"/>
  <c r="Q170" i="1" a="1"/>
  <c r="Q170" i="1" s="1"/>
  <c r="P170" i="1" a="1"/>
  <c r="P170" i="1" s="1"/>
  <c r="O170" i="1" a="1"/>
  <c r="O170" i="1" s="1"/>
  <c r="N170" i="1" a="1"/>
  <c r="N170" i="1" s="1"/>
  <c r="M170" i="1" a="1"/>
  <c r="M170" i="1" s="1"/>
  <c r="L170" i="1" a="1"/>
  <c r="L170" i="1" s="1"/>
  <c r="K170" i="1" a="1"/>
  <c r="K170" i="1" s="1"/>
  <c r="J170" i="1" a="1"/>
  <c r="J170" i="1" s="1"/>
  <c r="I170" i="1" a="1"/>
  <c r="I170" i="1" s="1"/>
  <c r="H170" i="1" a="1"/>
  <c r="H170" i="1" s="1"/>
  <c r="G170" i="1" a="1"/>
  <c r="G170" i="1" s="1"/>
  <c r="F170" i="1" a="1"/>
  <c r="F170" i="1" s="1"/>
  <c r="E170" i="1" a="1"/>
  <c r="E170" i="1" s="1"/>
  <c r="D170" i="1" a="1"/>
  <c r="D170" i="1" s="1"/>
  <c r="C170" i="1" a="1"/>
  <c r="C170" i="1" s="1"/>
  <c r="B170" i="1" a="1"/>
  <c r="B170" i="1" s="1"/>
  <c r="A170" i="1"/>
  <c r="AI157" i="1" a="1"/>
  <c r="AI157" i="1" s="1"/>
  <c r="AH157" i="1" a="1"/>
  <c r="AH157" i="1" s="1"/>
  <c r="AG157" i="1"/>
  <c r="AG157" i="1" a="1"/>
  <c r="AF157" i="1" a="1"/>
  <c r="AF157" i="1" s="1"/>
  <c r="AE157" i="1" a="1"/>
  <c r="AE157" i="1" s="1"/>
  <c r="AD157" i="1" a="1"/>
  <c r="AD157" i="1" s="1"/>
  <c r="AC157" i="1" a="1"/>
  <c r="AC157" i="1" s="1"/>
  <c r="AB157" i="1" a="1"/>
  <c r="AB157" i="1" s="1"/>
  <c r="AA157" i="1" a="1"/>
  <c r="AA157" i="1" s="1"/>
  <c r="Z157" i="1" a="1"/>
  <c r="Z157" i="1" s="1"/>
  <c r="Y157" i="1"/>
  <c r="Y157" i="1" a="1"/>
  <c r="X157" i="1" a="1"/>
  <c r="X157" i="1" s="1"/>
  <c r="W157" i="1" a="1"/>
  <c r="W157" i="1" s="1"/>
  <c r="V157" i="1" a="1"/>
  <c r="V157" i="1" s="1"/>
  <c r="U157" i="1" a="1"/>
  <c r="U157" i="1" s="1"/>
  <c r="T157" i="1" a="1"/>
  <c r="T157" i="1" s="1"/>
  <c r="S157" i="1" a="1"/>
  <c r="S157" i="1" s="1"/>
  <c r="R157" i="1" a="1"/>
  <c r="R157" i="1" s="1"/>
  <c r="Q157" i="1"/>
  <c r="Q157" i="1" a="1"/>
  <c r="P157" i="1" a="1"/>
  <c r="P157" i="1" s="1"/>
  <c r="O157" i="1" a="1"/>
  <c r="O157" i="1" s="1"/>
  <c r="N157" i="1" a="1"/>
  <c r="N157" i="1" s="1"/>
  <c r="M157" i="1" a="1"/>
  <c r="M157" i="1" s="1"/>
  <c r="L157" i="1" a="1"/>
  <c r="L157" i="1" s="1"/>
  <c r="K157" i="1" a="1"/>
  <c r="K157" i="1" s="1"/>
  <c r="J157" i="1" a="1"/>
  <c r="J157" i="1" s="1"/>
  <c r="I157" i="1"/>
  <c r="I157" i="1" a="1"/>
  <c r="H157" i="1" a="1"/>
  <c r="H157" i="1" s="1"/>
  <c r="G157" i="1" a="1"/>
  <c r="G157" i="1" s="1"/>
  <c r="F157" i="1" a="1"/>
  <c r="F157" i="1" s="1"/>
  <c r="E157" i="1" a="1"/>
  <c r="E157" i="1" s="1"/>
  <c r="D157" i="1" a="1"/>
  <c r="D157" i="1" s="1"/>
  <c r="C157" i="1" a="1"/>
  <c r="C157" i="1" s="1"/>
  <c r="B157" i="1" a="1"/>
  <c r="B157" i="1" s="1"/>
  <c r="A157" i="1"/>
  <c r="AI144" i="1" a="1"/>
  <c r="AI144" i="1" s="1"/>
  <c r="AH144" i="1" a="1"/>
  <c r="AH144" i="1" s="1"/>
  <c r="AG144" i="1" a="1"/>
  <c r="AG144" i="1" s="1"/>
  <c r="AF144" i="1"/>
  <c r="AF144" i="1" a="1"/>
  <c r="AE144" i="1" a="1"/>
  <c r="AE144" i="1" s="1"/>
  <c r="AD144" i="1" a="1"/>
  <c r="AD144" i="1" s="1"/>
  <c r="AC144" i="1" a="1"/>
  <c r="AC144" i="1" s="1"/>
  <c r="AB144" i="1" a="1"/>
  <c r="AB144" i="1" s="1"/>
  <c r="AA144" i="1" a="1"/>
  <c r="AA144" i="1" s="1"/>
  <c r="Z144" i="1" a="1"/>
  <c r="Z144" i="1" s="1"/>
  <c r="Y144" i="1" a="1"/>
  <c r="Y144" i="1" s="1"/>
  <c r="X144" i="1"/>
  <c r="X144" i="1" a="1"/>
  <c r="W144" i="1" a="1"/>
  <c r="W144" i="1" s="1"/>
  <c r="V144" i="1" a="1"/>
  <c r="V144" i="1" s="1"/>
  <c r="U144" i="1" a="1"/>
  <c r="U144" i="1" s="1"/>
  <c r="T144" i="1" a="1"/>
  <c r="T144" i="1" s="1"/>
  <c r="S144" i="1" a="1"/>
  <c r="S144" i="1" s="1"/>
  <c r="R144" i="1" a="1"/>
  <c r="R144" i="1" s="1"/>
  <c r="Q144" i="1" a="1"/>
  <c r="Q144" i="1" s="1"/>
  <c r="P144" i="1"/>
  <c r="P144" i="1" a="1"/>
  <c r="O144" i="1" a="1"/>
  <c r="O144" i="1" s="1"/>
  <c r="N144" i="1" a="1"/>
  <c r="N144" i="1" s="1"/>
  <c r="M144" i="1" a="1"/>
  <c r="M144" i="1" s="1"/>
  <c r="L144" i="1" a="1"/>
  <c r="L144" i="1" s="1"/>
  <c r="K144" i="1" a="1"/>
  <c r="K144" i="1" s="1"/>
  <c r="J144" i="1" a="1"/>
  <c r="J144" i="1" s="1"/>
  <c r="I144" i="1" a="1"/>
  <c r="I144" i="1" s="1"/>
  <c r="H144" i="1"/>
  <c r="H144" i="1" a="1"/>
  <c r="G144" i="1" a="1"/>
  <c r="G144" i="1" s="1"/>
  <c r="F144" i="1" a="1"/>
  <c r="F144" i="1" s="1"/>
  <c r="E144" i="1" a="1"/>
  <c r="E144" i="1" s="1"/>
  <c r="D144" i="1" a="1"/>
  <c r="D144" i="1" s="1"/>
  <c r="C144" i="1" a="1"/>
  <c r="C144" i="1" s="1"/>
  <c r="B144" i="1" a="1"/>
  <c r="B144" i="1" s="1"/>
  <c r="A144" i="1"/>
  <c r="AI131" i="1" a="1"/>
  <c r="AI131" i="1" s="1"/>
  <c r="AH131" i="1" a="1"/>
  <c r="AH131" i="1" s="1"/>
  <c r="AG131" i="1"/>
  <c r="AG131" i="1" a="1"/>
  <c r="AF131" i="1" a="1"/>
  <c r="AF131" i="1" s="1"/>
  <c r="AE131" i="1" a="1"/>
  <c r="AE131" i="1" s="1"/>
  <c r="AD131" i="1" a="1"/>
  <c r="AD131" i="1" s="1"/>
  <c r="AC131" i="1" a="1"/>
  <c r="AC131" i="1" s="1"/>
  <c r="AB131" i="1" a="1"/>
  <c r="AB131" i="1" s="1"/>
  <c r="AA131" i="1" a="1"/>
  <c r="AA131" i="1" s="1"/>
  <c r="Z131" i="1" a="1"/>
  <c r="Z131" i="1" s="1"/>
  <c r="Y131" i="1"/>
  <c r="Y131" i="1" a="1"/>
  <c r="X131" i="1" a="1"/>
  <c r="X131" i="1" s="1"/>
  <c r="W131" i="1" a="1"/>
  <c r="W131" i="1" s="1"/>
  <c r="V131" i="1" a="1"/>
  <c r="V131" i="1" s="1"/>
  <c r="U131" i="1" a="1"/>
  <c r="U131" i="1" s="1"/>
  <c r="T131" i="1" a="1"/>
  <c r="T131" i="1" s="1"/>
  <c r="S131" i="1" a="1"/>
  <c r="S131" i="1" s="1"/>
  <c r="R131" i="1" a="1"/>
  <c r="R131" i="1" s="1"/>
  <c r="Q131" i="1"/>
  <c r="Q131" i="1" a="1"/>
  <c r="P131" i="1" a="1"/>
  <c r="P131" i="1" s="1"/>
  <c r="O131" i="1" a="1"/>
  <c r="O131" i="1" s="1"/>
  <c r="N131" i="1" a="1"/>
  <c r="N131" i="1" s="1"/>
  <c r="M131" i="1" a="1"/>
  <c r="M131" i="1" s="1"/>
  <c r="L131" i="1" a="1"/>
  <c r="L131" i="1" s="1"/>
  <c r="K131" i="1" a="1"/>
  <c r="K131" i="1" s="1"/>
  <c r="J131" i="1" a="1"/>
  <c r="J131" i="1" s="1"/>
  <c r="I131" i="1"/>
  <c r="I131" i="1" a="1"/>
  <c r="H131" i="1" a="1"/>
  <c r="H131" i="1" s="1"/>
  <c r="G131" i="1" a="1"/>
  <c r="G131" i="1" s="1"/>
  <c r="F131" i="1" a="1"/>
  <c r="F131" i="1" s="1"/>
  <c r="E131" i="1" a="1"/>
  <c r="E131" i="1" s="1"/>
  <c r="D131" i="1" a="1"/>
  <c r="D131" i="1" s="1"/>
  <c r="C131" i="1" a="1"/>
  <c r="C131" i="1" s="1"/>
  <c r="B131" i="1" a="1"/>
  <c r="B131" i="1" s="1"/>
  <c r="A131" i="1"/>
  <c r="AI118" i="1" a="1"/>
  <c r="AI118" i="1" s="1"/>
  <c r="AH118" i="1" a="1"/>
  <c r="AH118" i="1" s="1"/>
  <c r="AG118" i="1" a="1"/>
  <c r="AG118" i="1" s="1"/>
  <c r="AF118" i="1" a="1"/>
  <c r="AF118" i="1" s="1"/>
  <c r="AE118" i="1" a="1"/>
  <c r="AE118" i="1" s="1"/>
  <c r="AD118" i="1" a="1"/>
  <c r="AD118" i="1" s="1"/>
  <c r="AC118" i="1" a="1"/>
  <c r="AC118" i="1" s="1"/>
  <c r="AB118" i="1" a="1"/>
  <c r="AB118" i="1" s="1"/>
  <c r="AA118" i="1" a="1"/>
  <c r="AA118" i="1" s="1"/>
  <c r="Z118" i="1" a="1"/>
  <c r="Z118" i="1" s="1"/>
  <c r="Y118" i="1" a="1"/>
  <c r="Y118" i="1" s="1"/>
  <c r="X118" i="1" a="1"/>
  <c r="X118" i="1" s="1"/>
  <c r="W118" i="1" a="1"/>
  <c r="W118" i="1" s="1"/>
  <c r="V118" i="1" a="1"/>
  <c r="V118" i="1" s="1"/>
  <c r="U118" i="1" a="1"/>
  <c r="U118" i="1" s="1"/>
  <c r="T118" i="1" a="1"/>
  <c r="T118" i="1" s="1"/>
  <c r="S118" i="1" a="1"/>
  <c r="S118" i="1" s="1"/>
  <c r="R118" i="1" a="1"/>
  <c r="R118" i="1" s="1"/>
  <c r="Q118" i="1" a="1"/>
  <c r="Q118" i="1" s="1"/>
  <c r="P118" i="1" a="1"/>
  <c r="P118" i="1" s="1"/>
  <c r="O118" i="1" a="1"/>
  <c r="O118" i="1" s="1"/>
  <c r="N118" i="1" a="1"/>
  <c r="N118" i="1" s="1"/>
  <c r="M118" i="1" a="1"/>
  <c r="M118" i="1" s="1"/>
  <c r="L118" i="1" a="1"/>
  <c r="L118" i="1" s="1"/>
  <c r="K118" i="1" a="1"/>
  <c r="K118" i="1" s="1"/>
  <c r="J118" i="1" a="1"/>
  <c r="J118" i="1" s="1"/>
  <c r="I118" i="1" a="1"/>
  <c r="I118" i="1" s="1"/>
  <c r="H118" i="1" a="1"/>
  <c r="H118" i="1" s="1"/>
  <c r="G118" i="1" a="1"/>
  <c r="G118" i="1" s="1"/>
  <c r="F118" i="1" a="1"/>
  <c r="F118" i="1" s="1"/>
  <c r="E118" i="1" a="1"/>
  <c r="E118" i="1" s="1"/>
  <c r="D118" i="1" a="1"/>
  <c r="D118" i="1" s="1"/>
  <c r="C118" i="1" a="1"/>
  <c r="C118" i="1" s="1"/>
  <c r="B118" i="1" a="1"/>
  <c r="B118" i="1" s="1"/>
  <c r="A118" i="1"/>
  <c r="AI105" i="1" a="1"/>
  <c r="AI105" i="1" s="1"/>
  <c r="AH105" i="1" a="1"/>
  <c r="AH105" i="1" s="1"/>
  <c r="AG105" i="1" a="1"/>
  <c r="AG105" i="1" s="1"/>
  <c r="AF105" i="1" a="1"/>
  <c r="AF105" i="1" s="1"/>
  <c r="AE105" i="1" a="1"/>
  <c r="AE105" i="1" s="1"/>
  <c r="AD105" i="1" a="1"/>
  <c r="AD105" i="1" s="1"/>
  <c r="AC105" i="1" a="1"/>
  <c r="AC105" i="1" s="1"/>
  <c r="AB105" i="1" a="1"/>
  <c r="AB105" i="1" s="1"/>
  <c r="AA105" i="1" a="1"/>
  <c r="AA105" i="1" s="1"/>
  <c r="Z105" i="1" a="1"/>
  <c r="Z105" i="1" s="1"/>
  <c r="Y105" i="1" a="1"/>
  <c r="Y105" i="1" s="1"/>
  <c r="X105" i="1" a="1"/>
  <c r="X105" i="1" s="1"/>
  <c r="W105" i="1" a="1"/>
  <c r="W105" i="1" s="1"/>
  <c r="V105" i="1" a="1"/>
  <c r="V105" i="1" s="1"/>
  <c r="U105" i="1" a="1"/>
  <c r="U105" i="1" s="1"/>
  <c r="T105" i="1" a="1"/>
  <c r="T105" i="1" s="1"/>
  <c r="S105" i="1" a="1"/>
  <c r="S105" i="1" s="1"/>
  <c r="R105" i="1" a="1"/>
  <c r="R105" i="1" s="1"/>
  <c r="Q105" i="1" a="1"/>
  <c r="Q105" i="1" s="1"/>
  <c r="P105" i="1" a="1"/>
  <c r="P105" i="1" s="1"/>
  <c r="O105" i="1" a="1"/>
  <c r="O105" i="1" s="1"/>
  <c r="N105" i="1" a="1"/>
  <c r="N105" i="1" s="1"/>
  <c r="M105" i="1" a="1"/>
  <c r="M105" i="1" s="1"/>
  <c r="L105" i="1" a="1"/>
  <c r="L105" i="1" s="1"/>
  <c r="K105" i="1" a="1"/>
  <c r="K105" i="1" s="1"/>
  <c r="J105" i="1" a="1"/>
  <c r="J105" i="1" s="1"/>
  <c r="I105" i="1" a="1"/>
  <c r="I105" i="1" s="1"/>
  <c r="H105" i="1" a="1"/>
  <c r="H105" i="1" s="1"/>
  <c r="G105" i="1" a="1"/>
  <c r="G105" i="1" s="1"/>
  <c r="F105" i="1" a="1"/>
  <c r="F105" i="1" s="1"/>
  <c r="E105" i="1" a="1"/>
  <c r="E105" i="1" s="1"/>
  <c r="D105" i="1" a="1"/>
  <c r="D105" i="1" s="1"/>
  <c r="C105" i="1" a="1"/>
  <c r="C105" i="1" s="1"/>
  <c r="B105" i="1" a="1"/>
  <c r="B105" i="1" s="1"/>
  <c r="A105" i="1"/>
  <c r="AI92" i="1" a="1"/>
  <c r="AI92" i="1" s="1"/>
  <c r="AH92" i="1" a="1"/>
  <c r="AH92" i="1" s="1"/>
  <c r="AG92" i="1" a="1"/>
  <c r="AG92" i="1" s="1"/>
  <c r="AF92" i="1" a="1"/>
  <c r="AF92" i="1" s="1"/>
  <c r="AE92" i="1" a="1"/>
  <c r="AE92" i="1" s="1"/>
  <c r="AD92" i="1" a="1"/>
  <c r="AD92" i="1" s="1"/>
  <c r="AC92" i="1" a="1"/>
  <c r="AC92" i="1" s="1"/>
  <c r="AB92" i="1" a="1"/>
  <c r="AB92" i="1" s="1"/>
  <c r="AA92" i="1" a="1"/>
  <c r="AA92" i="1" s="1"/>
  <c r="Z92" i="1" a="1"/>
  <c r="Z92" i="1" s="1"/>
  <c r="Y92" i="1" a="1"/>
  <c r="Y92" i="1" s="1"/>
  <c r="X92" i="1" a="1"/>
  <c r="X92" i="1" s="1"/>
  <c r="W92" i="1" a="1"/>
  <c r="W92" i="1" s="1"/>
  <c r="V92" i="1" a="1"/>
  <c r="V92" i="1" s="1"/>
  <c r="U92" i="1" a="1"/>
  <c r="U92" i="1" s="1"/>
  <c r="T92" i="1" a="1"/>
  <c r="T92" i="1" s="1"/>
  <c r="S92" i="1" a="1"/>
  <c r="S92" i="1" s="1"/>
  <c r="R92" i="1" a="1"/>
  <c r="R92" i="1" s="1"/>
  <c r="Q92" i="1" a="1"/>
  <c r="Q92" i="1" s="1"/>
  <c r="P92" i="1" a="1"/>
  <c r="P92" i="1" s="1"/>
  <c r="O92" i="1" a="1"/>
  <c r="O92" i="1" s="1"/>
  <c r="N92" i="1" a="1"/>
  <c r="N92" i="1" s="1"/>
  <c r="M92" i="1" a="1"/>
  <c r="M92" i="1" s="1"/>
  <c r="L92" i="1" a="1"/>
  <c r="L92" i="1" s="1"/>
  <c r="K92" i="1" a="1"/>
  <c r="K92" i="1" s="1"/>
  <c r="J92" i="1" a="1"/>
  <c r="J92" i="1" s="1"/>
  <c r="I92" i="1" a="1"/>
  <c r="I92" i="1" s="1"/>
  <c r="H92" i="1" a="1"/>
  <c r="H92" i="1" s="1"/>
  <c r="G92" i="1" a="1"/>
  <c r="G92" i="1" s="1"/>
  <c r="F92" i="1" a="1"/>
  <c r="F92" i="1" s="1"/>
  <c r="E92" i="1" a="1"/>
  <c r="E92" i="1" s="1"/>
  <c r="D92" i="1" a="1"/>
  <c r="D92" i="1" s="1"/>
  <c r="C92" i="1" a="1"/>
  <c r="C92" i="1" s="1"/>
  <c r="B92" i="1" a="1"/>
  <c r="B92" i="1" s="1"/>
  <c r="A92" i="1"/>
  <c r="AI79" i="1" a="1"/>
  <c r="AI79" i="1" s="1"/>
  <c r="AH79" i="1" a="1"/>
  <c r="AH79" i="1" s="1"/>
  <c r="AG79" i="1" a="1"/>
  <c r="AG79" i="1" s="1"/>
  <c r="AF79" i="1" a="1"/>
  <c r="AF79" i="1" s="1"/>
  <c r="AE79" i="1" a="1"/>
  <c r="AE79" i="1" s="1"/>
  <c r="AD79" i="1" a="1"/>
  <c r="AD79" i="1" s="1"/>
  <c r="AC79" i="1" a="1"/>
  <c r="AC79" i="1" s="1"/>
  <c r="AB79" i="1" a="1"/>
  <c r="AB79" i="1" s="1"/>
  <c r="AA79" i="1" a="1"/>
  <c r="AA79" i="1" s="1"/>
  <c r="Z79" i="1" a="1"/>
  <c r="Z79" i="1" s="1"/>
  <c r="Y79" i="1" a="1"/>
  <c r="Y79" i="1" s="1"/>
  <c r="X79" i="1" a="1"/>
  <c r="X79" i="1" s="1"/>
  <c r="W79" i="1" a="1"/>
  <c r="W79" i="1" s="1"/>
  <c r="V79" i="1" a="1"/>
  <c r="V79" i="1" s="1"/>
  <c r="U79" i="1" a="1"/>
  <c r="U79" i="1" s="1"/>
  <c r="T79" i="1" a="1"/>
  <c r="T79" i="1" s="1"/>
  <c r="S79" i="1" a="1"/>
  <c r="S79" i="1" s="1"/>
  <c r="R79" i="1" a="1"/>
  <c r="R79" i="1" s="1"/>
  <c r="Q79" i="1" a="1"/>
  <c r="Q79" i="1" s="1"/>
  <c r="P79" i="1" a="1"/>
  <c r="P79" i="1" s="1"/>
  <c r="O79" i="1" a="1"/>
  <c r="O79" i="1" s="1"/>
  <c r="N79" i="1" a="1"/>
  <c r="N79" i="1" s="1"/>
  <c r="M79" i="1" a="1"/>
  <c r="M79" i="1" s="1"/>
  <c r="L79" i="1" a="1"/>
  <c r="L79" i="1" s="1"/>
  <c r="K79" i="1" a="1"/>
  <c r="K79" i="1" s="1"/>
  <c r="J79" i="1" a="1"/>
  <c r="J79" i="1" s="1"/>
  <c r="I79" i="1" a="1"/>
  <c r="I79" i="1" s="1"/>
  <c r="H79" i="1" a="1"/>
  <c r="H79" i="1" s="1"/>
  <c r="G79" i="1" a="1"/>
  <c r="G79" i="1" s="1"/>
  <c r="F79" i="1" a="1"/>
  <c r="F79" i="1" s="1"/>
  <c r="E79" i="1" a="1"/>
  <c r="E79" i="1" s="1"/>
  <c r="D79" i="1" a="1"/>
  <c r="D79" i="1" s="1"/>
  <c r="C79" i="1" a="1"/>
  <c r="C79" i="1" s="1"/>
  <c r="B79" i="1" a="1"/>
  <c r="B79" i="1" s="1"/>
  <c r="A79" i="1"/>
  <c r="AI66" i="1" a="1"/>
  <c r="AI66" i="1" s="1"/>
  <c r="AH66" i="1" a="1"/>
  <c r="AH66" i="1" s="1"/>
  <c r="AG66" i="1" a="1"/>
  <c r="AG66" i="1" s="1"/>
  <c r="AF66" i="1" a="1"/>
  <c r="AF66" i="1" s="1"/>
  <c r="AE66" i="1" a="1"/>
  <c r="AE66" i="1" s="1"/>
  <c r="AD66" i="1" a="1"/>
  <c r="AD66" i="1" s="1"/>
  <c r="AC66" i="1" a="1"/>
  <c r="AC66" i="1" s="1"/>
  <c r="AB66" i="1" a="1"/>
  <c r="AB66" i="1" s="1"/>
  <c r="AA66" i="1" a="1"/>
  <c r="AA66" i="1" s="1"/>
  <c r="Z66" i="1" a="1"/>
  <c r="Z66" i="1" s="1"/>
  <c r="Y66" i="1" a="1"/>
  <c r="Y66" i="1" s="1"/>
  <c r="X66" i="1" a="1"/>
  <c r="X66" i="1" s="1"/>
  <c r="W66" i="1" a="1"/>
  <c r="W66" i="1" s="1"/>
  <c r="V66" i="1" a="1"/>
  <c r="V66" i="1" s="1"/>
  <c r="U66" i="1" a="1"/>
  <c r="U66" i="1" s="1"/>
  <c r="T66" i="1" a="1"/>
  <c r="T66" i="1" s="1"/>
  <c r="S66" i="1" a="1"/>
  <c r="S66" i="1" s="1"/>
  <c r="R66" i="1" a="1"/>
  <c r="R66" i="1" s="1"/>
  <c r="Q66" i="1" a="1"/>
  <c r="Q66" i="1" s="1"/>
  <c r="P66" i="1" a="1"/>
  <c r="P66" i="1" s="1"/>
  <c r="O66" i="1" a="1"/>
  <c r="O66" i="1" s="1"/>
  <c r="N66" i="1" a="1"/>
  <c r="N66" i="1" s="1"/>
  <c r="M66" i="1" a="1"/>
  <c r="M66" i="1" s="1"/>
  <c r="L66" i="1" a="1"/>
  <c r="L66" i="1" s="1"/>
  <c r="K66" i="1" a="1"/>
  <c r="K66" i="1" s="1"/>
  <c r="J66" i="1" a="1"/>
  <c r="J66" i="1" s="1"/>
  <c r="I66" i="1" a="1"/>
  <c r="I66" i="1" s="1"/>
  <c r="H66" i="1" a="1"/>
  <c r="H66" i="1" s="1"/>
  <c r="G66" i="1" a="1"/>
  <c r="G66" i="1" s="1"/>
  <c r="F66" i="1" a="1"/>
  <c r="F66" i="1" s="1"/>
  <c r="E66" i="1" a="1"/>
  <c r="E66" i="1" s="1"/>
  <c r="D66" i="1" a="1"/>
  <c r="D66" i="1" s="1"/>
  <c r="C66" i="1" a="1"/>
  <c r="C66" i="1" s="1"/>
  <c r="B66" i="1" a="1"/>
  <c r="B66" i="1" s="1"/>
  <c r="A66" i="1"/>
  <c r="AI53" i="1" a="1"/>
  <c r="AI53" i="1" s="1"/>
  <c r="AH53" i="1" a="1"/>
  <c r="AH53" i="1" s="1"/>
  <c r="AG53" i="1" a="1"/>
  <c r="AG53" i="1" s="1"/>
  <c r="AF53" i="1" a="1"/>
  <c r="AF53" i="1" s="1"/>
  <c r="AE53" i="1" a="1"/>
  <c r="AE53" i="1" s="1"/>
  <c r="AD53" i="1" a="1"/>
  <c r="AD53" i="1" s="1"/>
  <c r="AC53" i="1" a="1"/>
  <c r="AC53" i="1" s="1"/>
  <c r="AB53" i="1" a="1"/>
  <c r="AB53" i="1" s="1"/>
  <c r="AA53" i="1" a="1"/>
  <c r="AA53" i="1" s="1"/>
  <c r="Z53" i="1" a="1"/>
  <c r="Z53" i="1" s="1"/>
  <c r="Y53" i="1" a="1"/>
  <c r="Y53" i="1" s="1"/>
  <c r="X53" i="1" a="1"/>
  <c r="X53" i="1" s="1"/>
  <c r="W53" i="1" a="1"/>
  <c r="W53" i="1" s="1"/>
  <c r="V53" i="1" a="1"/>
  <c r="V53" i="1" s="1"/>
  <c r="U53" i="1" a="1"/>
  <c r="U53" i="1" s="1"/>
  <c r="T53" i="1" a="1"/>
  <c r="T53" i="1" s="1"/>
  <c r="S53" i="1" a="1"/>
  <c r="S53" i="1" s="1"/>
  <c r="R53" i="1" a="1"/>
  <c r="R53" i="1" s="1"/>
  <c r="Q53" i="1" a="1"/>
  <c r="Q53" i="1" s="1"/>
  <c r="P53" i="1" a="1"/>
  <c r="P53" i="1" s="1"/>
  <c r="O53" i="1" a="1"/>
  <c r="O53" i="1" s="1"/>
  <c r="N53" i="1" a="1"/>
  <c r="N53" i="1" s="1"/>
  <c r="M53" i="1" a="1"/>
  <c r="M53" i="1" s="1"/>
  <c r="L53" i="1" a="1"/>
  <c r="L53" i="1" s="1"/>
  <c r="K53" i="1" a="1"/>
  <c r="K53" i="1" s="1"/>
  <c r="J53" i="1" a="1"/>
  <c r="J53" i="1" s="1"/>
  <c r="I53" i="1" a="1"/>
  <c r="I53" i="1" s="1"/>
  <c r="H53" i="1" a="1"/>
  <c r="H53" i="1" s="1"/>
  <c r="G53" i="1" a="1"/>
  <c r="G53" i="1" s="1"/>
  <c r="F53" i="1" a="1"/>
  <c r="F53" i="1" s="1"/>
  <c r="E53" i="1" a="1"/>
  <c r="E53" i="1" s="1"/>
  <c r="D53" i="1" a="1"/>
  <c r="D53" i="1" s="1"/>
  <c r="C53" i="1" a="1"/>
  <c r="C53" i="1" s="1"/>
  <c r="B53" i="1" a="1"/>
  <c r="B53" i="1" s="1"/>
  <c r="A53" i="1"/>
  <c r="AI40" i="1" a="1"/>
  <c r="AI40" i="1" s="1"/>
  <c r="AH40" i="1" a="1"/>
  <c r="AH40" i="1" s="1"/>
  <c r="AG40" i="1" a="1"/>
  <c r="AG40" i="1" s="1"/>
  <c r="AF40" i="1" a="1"/>
  <c r="AF40" i="1" s="1"/>
  <c r="AE40" i="1" a="1"/>
  <c r="AE40" i="1" s="1"/>
  <c r="AD40" i="1" a="1"/>
  <c r="AD40" i="1" s="1"/>
  <c r="AC40" i="1" a="1"/>
  <c r="AC40" i="1" s="1"/>
  <c r="AB40" i="1" a="1"/>
  <c r="AB40" i="1" s="1"/>
  <c r="AA40" i="1" a="1"/>
  <c r="AA40" i="1" s="1"/>
  <c r="Z40" i="1" a="1"/>
  <c r="Z40" i="1" s="1"/>
  <c r="Y40" i="1" a="1"/>
  <c r="Y40" i="1" s="1"/>
  <c r="X40" i="1" a="1"/>
  <c r="X40" i="1" s="1"/>
  <c r="W40" i="1" a="1"/>
  <c r="W40" i="1" s="1"/>
  <c r="V40" i="1" a="1"/>
  <c r="V40" i="1" s="1"/>
  <c r="U40" i="1" a="1"/>
  <c r="U40" i="1" s="1"/>
  <c r="T40" i="1" a="1"/>
  <c r="T40" i="1" s="1"/>
  <c r="S40" i="1" a="1"/>
  <c r="S40" i="1" s="1"/>
  <c r="R40" i="1" a="1"/>
  <c r="R40" i="1" s="1"/>
  <c r="Q40" i="1" a="1"/>
  <c r="Q40" i="1" s="1"/>
  <c r="P40" i="1" a="1"/>
  <c r="P40" i="1" s="1"/>
  <c r="O40" i="1" a="1"/>
  <c r="O40" i="1" s="1"/>
  <c r="N40" i="1" a="1"/>
  <c r="N40" i="1" s="1"/>
  <c r="M40" i="1" a="1"/>
  <c r="M40" i="1" s="1"/>
  <c r="L40" i="1" a="1"/>
  <c r="L40" i="1" s="1"/>
  <c r="K40" i="1" a="1"/>
  <c r="K40" i="1" s="1"/>
  <c r="J40" i="1" a="1"/>
  <c r="J40" i="1" s="1"/>
  <c r="I40" i="1" a="1"/>
  <c r="I40" i="1" s="1"/>
  <c r="H40" i="1" a="1"/>
  <c r="H40" i="1" s="1"/>
  <c r="G40" i="1" a="1"/>
  <c r="G40" i="1" s="1"/>
  <c r="F40" i="1" a="1"/>
  <c r="F40" i="1" s="1"/>
  <c r="E40" i="1" a="1"/>
  <c r="E40" i="1" s="1"/>
  <c r="D40" i="1" a="1"/>
  <c r="D40" i="1" s="1"/>
  <c r="C40" i="1" a="1"/>
  <c r="C40" i="1" s="1"/>
  <c r="B40" i="1" a="1"/>
  <c r="B40" i="1" s="1"/>
  <c r="A40" i="1"/>
  <c r="AI27" i="1" a="1"/>
  <c r="AI27" i="1" s="1"/>
  <c r="AH27" i="1" a="1"/>
  <c r="AH27" i="1" s="1"/>
  <c r="AG27" i="1" a="1"/>
  <c r="AG27" i="1" s="1"/>
  <c r="AF27" i="1" a="1"/>
  <c r="AF27" i="1" s="1"/>
  <c r="AE27" i="1" a="1"/>
  <c r="AE27" i="1" s="1"/>
  <c r="AD27" i="1" a="1"/>
  <c r="AD27" i="1" s="1"/>
  <c r="AC27" i="1" a="1"/>
  <c r="AC27" i="1" s="1"/>
  <c r="AB27" i="1" a="1"/>
  <c r="AB27" i="1" s="1"/>
  <c r="AA27" i="1" a="1"/>
  <c r="AA27" i="1" s="1"/>
  <c r="Z27" i="1" a="1"/>
  <c r="Z27" i="1" s="1"/>
  <c r="Y27" i="1" a="1"/>
  <c r="Y27" i="1" s="1"/>
  <c r="X27" i="1" a="1"/>
  <c r="X27" i="1" s="1"/>
  <c r="W27" i="1" a="1"/>
  <c r="W27" i="1" s="1"/>
  <c r="V27" i="1" a="1"/>
  <c r="V27" i="1" s="1"/>
  <c r="U27" i="1" a="1"/>
  <c r="U27" i="1" s="1"/>
  <c r="T27" i="1" a="1"/>
  <c r="T27" i="1" s="1"/>
  <c r="S27" i="1" a="1"/>
  <c r="S27" i="1" s="1"/>
  <c r="R27" i="1" a="1"/>
  <c r="R27" i="1" s="1"/>
  <c r="Q27" i="1" a="1"/>
  <c r="Q27" i="1" s="1"/>
  <c r="P27" i="1" a="1"/>
  <c r="P27" i="1" s="1"/>
  <c r="O27" i="1" a="1"/>
  <c r="O27" i="1" s="1"/>
  <c r="N27" i="1" a="1"/>
  <c r="N27" i="1" s="1"/>
  <c r="M27" i="1" a="1"/>
  <c r="M27" i="1" s="1"/>
  <c r="L27" i="1" a="1"/>
  <c r="L27" i="1" s="1"/>
  <c r="K27" i="1" a="1"/>
  <c r="K27" i="1" s="1"/>
  <c r="J27" i="1" a="1"/>
  <c r="J27" i="1" s="1"/>
  <c r="I27" i="1" a="1"/>
  <c r="I27" i="1" s="1"/>
  <c r="H27" i="1" a="1"/>
  <c r="H27" i="1" s="1"/>
  <c r="G27" i="1" a="1"/>
  <c r="G27" i="1" s="1"/>
  <c r="F27" i="1" a="1"/>
  <c r="F27" i="1" s="1"/>
  <c r="E27" i="1" a="1"/>
  <c r="E27" i="1" s="1"/>
  <c r="D27" i="1" a="1"/>
  <c r="D27" i="1" s="1"/>
  <c r="C27" i="1" a="1"/>
  <c r="C27" i="1" s="1"/>
  <c r="B27" i="1" a="1"/>
  <c r="B27" i="1" s="1"/>
  <c r="A27" i="1"/>
  <c r="A14" i="1"/>
  <c r="E14" i="1" a="1"/>
  <c r="E14" i="1" s="1"/>
  <c r="F14" i="1" a="1"/>
  <c r="F14" i="1" s="1"/>
  <c r="G14" i="1" a="1"/>
  <c r="G14" i="1" s="1"/>
  <c r="H14" i="1" a="1"/>
  <c r="H14" i="1" s="1"/>
  <c r="I14" i="1" a="1"/>
  <c r="I14" i="1" s="1"/>
  <c r="J14" i="1" a="1"/>
  <c r="J14" i="1" s="1"/>
  <c r="K14" i="1" a="1"/>
  <c r="K14" i="1" s="1"/>
  <c r="L14" i="1" a="1"/>
  <c r="L14" i="1" s="1"/>
  <c r="M14" i="1" a="1"/>
  <c r="M14" i="1" s="1"/>
  <c r="N14" i="1" a="1"/>
  <c r="N14" i="1" s="1"/>
  <c r="O14" i="1" a="1"/>
  <c r="O14" i="1" s="1"/>
  <c r="P14" i="1" a="1"/>
  <c r="P14" i="1" s="1"/>
  <c r="Q14" i="1" a="1"/>
  <c r="Q14" i="1" s="1"/>
  <c r="R14" i="1" a="1"/>
  <c r="R14" i="1" s="1"/>
  <c r="S14" i="1" a="1"/>
  <c r="S14" i="1" s="1"/>
  <c r="T14" i="1" a="1"/>
  <c r="T14" i="1" s="1"/>
  <c r="U14" i="1" a="1"/>
  <c r="U14" i="1" s="1"/>
  <c r="V14" i="1" a="1"/>
  <c r="V14" i="1" s="1"/>
  <c r="W14" i="1" a="1"/>
  <c r="W14" i="1" s="1"/>
  <c r="X14" i="1" a="1"/>
  <c r="X14" i="1" s="1"/>
  <c r="Y14" i="1" a="1"/>
  <c r="Y14" i="1" s="1"/>
  <c r="Z14" i="1" a="1"/>
  <c r="Z14" i="1" s="1"/>
  <c r="AA14" i="1" a="1"/>
  <c r="AA14" i="1" s="1"/>
  <c r="AB14" i="1" a="1"/>
  <c r="AB14" i="1" s="1"/>
  <c r="AC14" i="1" a="1"/>
  <c r="AC14" i="1" s="1"/>
  <c r="AD14" i="1" a="1"/>
  <c r="AD14" i="1" s="1"/>
  <c r="AE14" i="1" a="1"/>
  <c r="AE14" i="1" s="1"/>
  <c r="AF14" i="1" a="1"/>
  <c r="AF14" i="1" s="1"/>
  <c r="AG14" i="1" a="1"/>
  <c r="AG14" i="1" s="1"/>
  <c r="AH14" i="1" a="1"/>
  <c r="AH14" i="1" s="1"/>
  <c r="AI14" i="1" a="1"/>
  <c r="AI14" i="1" s="1"/>
  <c r="D195" i="3" l="1"/>
  <c r="D196" i="3" s="1"/>
  <c r="C195" i="3"/>
  <c r="C196" i="3" s="1"/>
  <c r="B195" i="3"/>
  <c r="B196" i="3" s="1"/>
  <c r="D194" i="3" a="1"/>
  <c r="D194" i="3" s="1"/>
  <c r="D197" i="3" s="1"/>
  <c r="C194" i="3" a="1"/>
  <c r="C194" i="3" s="1"/>
  <c r="B194" i="3" a="1"/>
  <c r="B194" i="3" s="1"/>
  <c r="B197" i="3" s="1"/>
  <c r="C197" i="3" l="1"/>
  <c r="C195" i="2"/>
  <c r="C196" i="2" s="1"/>
  <c r="D195" i="2"/>
  <c r="D196" i="2" s="1"/>
  <c r="B195" i="2"/>
  <c r="B196" i="2" s="1"/>
  <c r="B197" i="2" s="1"/>
  <c r="D194" i="2" a="1"/>
  <c r="D194" i="2" s="1"/>
  <c r="C194" i="2" a="1"/>
  <c r="C194" i="2" s="1"/>
  <c r="C197" i="2" s="1"/>
  <c r="D14" i="1" a="1"/>
  <c r="D14" i="1" s="1"/>
  <c r="C14" i="1" a="1"/>
  <c r="C14" i="1" s="1"/>
  <c r="B14" i="1" a="1"/>
  <c r="B14" i="1" s="1"/>
  <c r="D197" i="2" l="1"/>
</calcChain>
</file>

<file path=xl/comments1.xml><?xml version="1.0" encoding="utf-8"?>
<comments xmlns="http://schemas.openxmlformats.org/spreadsheetml/2006/main">
  <authors>
    <author>tc={50CF2F66-976B-4548-9BC6-CD4DDE42163A}</author>
    <author>tc={28EA85F3-9E76-4A3F-8E34-B42DC5534BB1}</author>
    <author>tc={0728E666-FB28-4C6B-81A1-D1DC12A25C6D}</author>
    <author>tc={2710E765-6BB5-4E70-B9C1-CE3D145995C6}</author>
    <author>tc={1A56AB6A-D8D2-4991-B2E6-77CA964A2336}</author>
    <author>tc={E2D9D2C4-D77C-4417-84D8-158E97783797}</author>
    <author>tc={EAA3854A-47D7-4AB3-84B2-1D3700FDD579}</author>
    <author>tc={4417128C-0AD3-4645-8856-23DD11EACDC8}</author>
    <author>tc={13380DFF-90A8-42E9-8032-4C9CEF22C4ED}</author>
    <author>tc={E463B79A-0B19-4565-AC7E-BB4BEFA3A537}</author>
    <author>tc={97D2A067-D57C-443B-861D-880DE320E651}</author>
    <author>tc={06FB9F65-DFFD-4C1F-BF76-907158D15DBB}</author>
    <author>tc={82C34C00-387F-4288-BB8C-3637B464348F}</author>
    <author>tc={1724CABD-8E34-4BF9-9F48-2DCB4A8CE6E7}</author>
    <author>tc={8FF7F27C-371A-40B2-B5E5-6922BF74857C}</author>
    <author>tc={A1AD65D3-9B3A-45E9-BAFF-9767B7B26347}</author>
  </authors>
  <commentList>
    <comment ref="D14" authorId="0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Verified</t>
      </text>
    </comment>
    <comment ref="D27" authorId="1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Verified</t>
      </text>
    </comment>
    <comment ref="D40" authorId="2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Verified</t>
      </text>
    </comment>
    <comment ref="D53" authorId="3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Verified</t>
      </text>
    </comment>
    <comment ref="D66" authorId="4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Verified</t>
      </text>
    </comment>
    <comment ref="D79" authorId="5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Verified</t>
      </text>
    </comment>
    <comment ref="D92" authorId="6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Verified</t>
      </text>
    </comment>
    <comment ref="D105" authorId="7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Verified</t>
      </text>
    </comment>
    <comment ref="D118" authorId="8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Verified</t>
      </text>
    </comment>
    <comment ref="D131" authorId="9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Verified</t>
      </text>
    </comment>
    <comment ref="D144" authorId="10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Verified</t>
      </text>
    </comment>
    <comment ref="D157" authorId="11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Verified</t>
      </text>
    </comment>
    <comment ref="D170" authorId="12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Verified</t>
      </text>
    </comment>
    <comment ref="D183" authorId="13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Verified</t>
      </text>
    </comment>
    <comment ref="D196" authorId="14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Verified</t>
      </text>
    </comment>
    <comment ref="D209" authorId="15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Verified</t>
      </text>
    </comment>
  </commentList>
</comments>
</file>

<file path=xl/comments2.xml><?xml version="1.0" encoding="utf-8"?>
<comments xmlns="http://schemas.openxmlformats.org/spreadsheetml/2006/main">
  <authors>
    <author>tc={A30840DC-02F9-42D7-802D-3FB6CA32F9AE}</author>
    <author>tc={3AD5FC99-74CE-418E-8C32-9E7945626C98}</author>
    <author>tc={3775CE2A-2235-430B-86EA-8AB9C78BD086}</author>
    <author>tc={DE23FE31-EE49-4234-AEE5-3309A4B3F79E}</author>
    <author>tc={D3678198-6267-44F2-BAAD-E495480FD25C}</author>
    <author>tc={B923B2A5-D983-478A-8463-B6C9A29E9BF4}</author>
    <author>tc={16ED8FA4-B8D8-4545-80DC-CC9681173CFD}</author>
    <author>tc={68B0D235-DDB5-453F-9D33-FAB8272A706E}</author>
    <author>tc={ADEF3521-6A8F-4E54-B189-1D0BEC64FB8D}</author>
    <author>tc={DDF7F906-BB6E-4C1C-9CF6-14FD11F9295A}</author>
    <author>tc={1EFC86BF-1EA1-415C-B311-1B4F0DD17681}</author>
    <author>tc={C691D294-22CE-40A5-A63F-74ABEE4046DB}</author>
    <author>tc={0332B8FC-C5BA-4BB4-88DF-748D2F93FC8E}</author>
    <author>tc={A45E00DB-F5A0-4E80-B6CD-50AE55C3A74D}</author>
    <author>tc={493108EB-1003-43E5-9F39-EF7E54BF6563}</author>
    <author>tc={06F6F82B-47C5-4E23-8973-E02A21C89A9A}</author>
    <author>tc={439A37DA-67D2-459B-9F81-A05F63BAF94B}</author>
  </authors>
  <commentList>
    <comment ref="D2" authorId="0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Verified</t>
      </text>
    </comment>
    <comment ref="D3" authorId="1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Verified</t>
      </text>
    </comment>
    <comment ref="D4" authorId="2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Verified</t>
      </text>
    </comment>
    <comment ref="D5" authorId="3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Verified</t>
      </text>
    </comment>
    <comment ref="D6" authorId="4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Verified</t>
      </text>
    </comment>
    <comment ref="D7" authorId="5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Verified</t>
      </text>
    </comment>
    <comment ref="D8" authorId="6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Verified</t>
      </text>
    </comment>
    <comment ref="D9" authorId="7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Verified</t>
      </text>
    </comment>
    <comment ref="D10" authorId="8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Verified</t>
      </text>
    </comment>
    <comment ref="D11" authorId="9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Verified</t>
      </text>
    </comment>
    <comment ref="D12" authorId="10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Verified</t>
      </text>
    </comment>
    <comment ref="D13" authorId="11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Verified</t>
      </text>
    </comment>
    <comment ref="D14" authorId="12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Verified</t>
      </text>
    </comment>
    <comment ref="D15" authorId="13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Verified</t>
      </text>
    </comment>
    <comment ref="D16" authorId="14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Verified</t>
      </text>
    </comment>
    <comment ref="D17" authorId="15" shapeId="0">
      <text>
        <t>[Threaded comment]
Your version of Excel allows you to read this threaded comment; however, any edits to it will get removed if the file is opened in a newer version of Excel. Learn more: https://go.microsoft.com/fwlink/?linkid=870924
Comment:
    Verified</t>
      </text>
    </comment>
    <comment ref="D18" authorId="16" shapeId="0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Verified
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<sst xmlns="http://schemas.openxmlformats.org/spreadsheetml/2006/main" count="152" uniqueCount="42">
  <si>
    <t>Month</t>
  </si>
  <si>
    <t>Actual_return</t>
  </si>
  <si>
    <t>Equal_weight_return</t>
  </si>
  <si>
    <t>SP500_return</t>
  </si>
  <si>
    <t>AAPL</t>
  </si>
  <si>
    <t>AMZN</t>
  </si>
  <si>
    <t>BA</t>
  </si>
  <si>
    <t>BAC</t>
  </si>
  <si>
    <t>BLK</t>
  </si>
  <si>
    <t>CAT</t>
  </si>
  <si>
    <t>CL</t>
  </si>
  <si>
    <t>COP</t>
  </si>
  <si>
    <t>D</t>
  </si>
  <si>
    <t>DIS</t>
  </si>
  <si>
    <t>GE</t>
  </si>
  <si>
    <t>JNJ</t>
  </si>
  <si>
    <t>JPM</t>
  </si>
  <si>
    <t>KO</t>
  </si>
  <si>
    <t>MCD</t>
  </si>
  <si>
    <t>MMM</t>
  </si>
  <si>
    <t>MSFT</t>
  </si>
  <si>
    <t>NKE</t>
  </si>
  <si>
    <t>NOC</t>
  </si>
  <si>
    <t>NVDA</t>
  </si>
  <si>
    <t>OXY</t>
  </si>
  <si>
    <t>PFE</t>
  </si>
  <si>
    <t>PG</t>
  </si>
  <si>
    <t>SO</t>
  </si>
  <si>
    <t>SPG</t>
  </si>
  <si>
    <t>T</t>
  </si>
  <si>
    <t>TSM</t>
  </si>
  <si>
    <t>UNH</t>
  </si>
  <si>
    <t>UPS</t>
  </si>
  <si>
    <t>VMC</t>
  </si>
  <si>
    <t>XOM</t>
  </si>
  <si>
    <t>Average</t>
  </si>
  <si>
    <t>Average annual return</t>
  </si>
  <si>
    <t>Monthly volatility</t>
  </si>
  <si>
    <t>Annual vol</t>
  </si>
  <si>
    <t>Sharpe Ratio</t>
  </si>
  <si>
    <t xml:space="preserve"> </t>
  </si>
  <si>
    <t>(monthly rebalancing)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</si>
</sst>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%"/>
    <numFmt numFmtId="168" formatCode="0.0000"/>
    <numFmt numFmtId="175" formatCode="0E+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5">
    <xf numFmtId="0" fontId="0" fillId="0" borderId="0" xfId="0"/>
    <xf numFmtId="14" fontId="0" fillId="0" borderId="0" xfId="0" applyNumberFormat="1"/>
    <xf numFmtId="11" fontId="0" fillId="0" borderId="0" xfId="0" applyNumberFormat="1"/>
    <xf numFmtId="0" fontId="16" fillId="0" borderId="0" xfId="0" applyFont="1"/>
    <xf numFmtId="164" fontId="0" fillId="0" borderId="0" xfId="1" applyNumberFormat="1" applyFont="1"/>
    <xf numFmtId="10" fontId="0" fillId="0" borderId="0" xfId="1" applyNumberFormat="1" applyFont="1"/>
    <xf numFmtId="10" fontId="16" fillId="33" borderId="0" xfId="1" applyNumberFormat="1" applyFont="1" applyFill="1"/>
    <xf numFmtId="2" fontId="0" fillId="0" borderId="0" xfId="0" applyNumberFormat="1"/>
    <xf numFmtId="168" fontId="0" fillId="0" borderId="0" xfId="0" applyNumberFormat="1"/>
    <xf numFmtId="10" fontId="0" fillId="0" borderId="0" xfId="0" applyNumberFormat="1"/>
    <xf numFmtId="0" fontId="0" fillId="0" borderId="0" xfId="0" applyNumberFormat="1"/>
    <xf numFmtId="0" fontId="16" fillId="0" borderId="0" xfId="0" applyFont="1" applyAlignment="1">
      <alignment wrapText="1"/>
    </xf>
    <xf numFmtId="175" fontId="0" fillId="0" borderId="0" xfId="0" applyNumberFormat="1"/>
    <xf numFmtId="0" fontId="16" fillId="0" borderId="0" xfId="0" applyFont="1" applyAlignment="1">
      <alignment vertical="top" wrapText="1"/>
    </xf>
    <xf numFmtId="2" fontId="16" fillId="0" borderId="0" xfId="0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266700</xdr:colOff>
          <xdr:row>1</xdr:row>
          <xdr:rowOff>9525</xdr:rowOff>
        </xdr:from>
        <xdr:to>
          <xdr:col>57</xdr:col>
          <xdr:colOff>485775</xdr:colOff>
          <xdr:row>200</xdr:row>
          <xdr:rowOff>19050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53038678-91FA-35F2-6FCB-E0305D48C95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1:$AI$197" spid="_x0000_s206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3896975" y="590550"/>
              <a:ext cx="13630275" cy="61055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ichard Guang" id="{B2203987-9D07-48A1-98C4-F482ED1873FD}" userId="S::rguang@MIT.EDU::aa81df8f-4f92-4b90-9e44-c0883f6dedc4" providerId="AD"/>
  <person displayName="Richard Guang" id="{05FD753A-A386-4A0B-AB08-7D456395916B}" userId="S::rguang@mit.edu::aa81df8f-4f92-4b90-9e44-c0883f6dedc4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4" dT="2024-01-01T19:38:46.36" personId="{05FD753A-A386-4A0B-AB08-7D456395916B}" id="{50CF2F66-976B-4548-9BC6-CD4DDE42163A}">
    <text>Verified</text>
  </threadedComment>
  <threadedComment ref="D27" dT="2024-01-01T19:38:46.36" personId="{05FD753A-A386-4A0B-AB08-7D456395916B}" id="{28EA85F3-9E76-4A3F-8E34-B42DC5534BB1}">
    <text>Verified</text>
  </threadedComment>
  <threadedComment ref="D40" dT="2024-01-01T19:38:46.36" personId="{05FD753A-A386-4A0B-AB08-7D456395916B}" id="{0728E666-FB28-4C6B-81A1-D1DC12A25C6D}">
    <text>Verified</text>
  </threadedComment>
  <threadedComment ref="D53" dT="2024-01-01T19:38:46.36" personId="{05FD753A-A386-4A0B-AB08-7D456395916B}" id="{2710E765-6BB5-4E70-B9C1-CE3D145995C6}">
    <text>Verified</text>
  </threadedComment>
  <threadedComment ref="D66" dT="2024-01-01T19:38:46.36" personId="{05FD753A-A386-4A0B-AB08-7D456395916B}" id="{1A56AB6A-D8D2-4991-B2E6-77CA964A2336}">
    <text>Verified</text>
  </threadedComment>
  <threadedComment ref="D79" dT="2024-01-01T19:38:46.36" personId="{05FD753A-A386-4A0B-AB08-7D456395916B}" id="{E2D9D2C4-D77C-4417-84D8-158E97783797}">
    <text>Verified</text>
  </threadedComment>
  <threadedComment ref="D92" dT="2024-01-01T19:38:46.36" personId="{05FD753A-A386-4A0B-AB08-7D456395916B}" id="{EAA3854A-47D7-4AB3-84B2-1D3700FDD579}">
    <text>Verified</text>
  </threadedComment>
  <threadedComment ref="D105" dT="2024-01-01T19:38:46.36" personId="{05FD753A-A386-4A0B-AB08-7D456395916B}" id="{4417128C-0AD3-4645-8856-23DD11EACDC8}">
    <text>Verified</text>
  </threadedComment>
  <threadedComment ref="D118" dT="2024-01-01T19:38:46.36" personId="{05FD753A-A386-4A0B-AB08-7D456395916B}" id="{13380DFF-90A8-42E9-8032-4C9CEF22C4ED}">
    <text>Verified</text>
  </threadedComment>
  <threadedComment ref="D131" dT="2024-01-01T19:38:46.36" personId="{05FD753A-A386-4A0B-AB08-7D456395916B}" id="{E463B79A-0B19-4565-AC7E-BB4BEFA3A537}">
    <text>Verified</text>
  </threadedComment>
  <threadedComment ref="D144" dT="2024-01-01T19:38:46.36" personId="{05FD753A-A386-4A0B-AB08-7D456395916B}" id="{97D2A067-D57C-443B-861D-880DE320E651}">
    <text>Verified</text>
  </threadedComment>
  <threadedComment ref="D157" dT="2024-01-01T19:38:46.36" personId="{05FD753A-A386-4A0B-AB08-7D456395916B}" id="{06FB9F65-DFFD-4C1F-BF76-907158D15DBB}">
    <text>Verified</text>
  </threadedComment>
  <threadedComment ref="D170" dT="2024-01-01T19:38:46.36" personId="{05FD753A-A386-4A0B-AB08-7D456395916B}" id="{82C34C00-387F-4288-BB8C-3637B464348F}">
    <text>Verified</text>
  </threadedComment>
  <threadedComment ref="D183" dT="2024-01-01T19:38:46.36" personId="{05FD753A-A386-4A0B-AB08-7D456395916B}" id="{1724CABD-8E34-4BF9-9F48-2DCB4A8CE6E7}">
    <text>Verified</text>
  </threadedComment>
  <threadedComment ref="D196" dT="2024-01-01T19:38:46.36" personId="{05FD753A-A386-4A0B-AB08-7D456395916B}" id="{8FF7F27C-371A-40B2-B5E5-6922BF74857C}">
    <text>Verified</text>
  </threadedComment>
  <threadedComment ref="D209" dT="2024-01-01T19:38:46.36" personId="{05FD753A-A386-4A0B-AB08-7D456395916B}" id="{A1AD65D3-9B3A-45E9-BAFF-9767B7B26347}">
    <text>Verified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2" dT="2024-01-01T19:38:46.36" personId="{05FD753A-A386-4A0B-AB08-7D456395916B}" id="{A30840DC-02F9-42D7-802D-3FB6CA32F9AE}">
    <text>Verified</text>
  </threadedComment>
  <threadedComment ref="D3" dT="2024-01-01T19:38:46.36" personId="{05FD753A-A386-4A0B-AB08-7D456395916B}" id="{3AD5FC99-74CE-418E-8C32-9E7945626C98}">
    <text>Verified</text>
  </threadedComment>
  <threadedComment ref="D4" dT="2024-01-01T19:38:46.36" personId="{05FD753A-A386-4A0B-AB08-7D456395916B}" id="{3775CE2A-2235-430B-86EA-8AB9C78BD086}">
    <text>Verified</text>
  </threadedComment>
  <threadedComment ref="D5" dT="2024-01-01T19:38:46.36" personId="{05FD753A-A386-4A0B-AB08-7D456395916B}" id="{DE23FE31-EE49-4234-AEE5-3309A4B3F79E}">
    <text>Verified</text>
  </threadedComment>
  <threadedComment ref="D6" dT="2024-01-01T19:38:46.36" personId="{05FD753A-A386-4A0B-AB08-7D456395916B}" id="{D3678198-6267-44F2-BAAD-E495480FD25C}">
    <text>Verified</text>
  </threadedComment>
  <threadedComment ref="D7" dT="2024-01-01T19:38:46.36" personId="{05FD753A-A386-4A0B-AB08-7D456395916B}" id="{B923B2A5-D983-478A-8463-B6C9A29E9BF4}">
    <text>Verified</text>
  </threadedComment>
  <threadedComment ref="D8" dT="2024-01-01T19:38:46.36" personId="{05FD753A-A386-4A0B-AB08-7D456395916B}" id="{16ED8FA4-B8D8-4545-80DC-CC9681173CFD}">
    <text>Verified</text>
  </threadedComment>
  <threadedComment ref="D9" dT="2024-01-01T19:38:46.36" personId="{05FD753A-A386-4A0B-AB08-7D456395916B}" id="{68B0D235-DDB5-453F-9D33-FAB8272A706E}">
    <text>Verified</text>
  </threadedComment>
  <threadedComment ref="D10" dT="2024-01-01T19:38:46.36" personId="{05FD753A-A386-4A0B-AB08-7D456395916B}" id="{ADEF3521-6A8F-4E54-B189-1D0BEC64FB8D}">
    <text>Verified</text>
  </threadedComment>
  <threadedComment ref="D11" dT="2024-01-01T19:38:46.36" personId="{05FD753A-A386-4A0B-AB08-7D456395916B}" id="{DDF7F906-BB6E-4C1C-9CF6-14FD11F9295A}">
    <text>Verified</text>
  </threadedComment>
  <threadedComment ref="D12" dT="2024-01-01T19:38:46.36" personId="{05FD753A-A386-4A0B-AB08-7D456395916B}" id="{1EFC86BF-1EA1-415C-B311-1B4F0DD17681}">
    <text>Verified</text>
  </threadedComment>
  <threadedComment ref="D13" dT="2024-01-01T19:38:46.36" personId="{05FD753A-A386-4A0B-AB08-7D456395916B}" id="{C691D294-22CE-40A5-A63F-74ABEE4046DB}">
    <text>Verified</text>
  </threadedComment>
  <threadedComment ref="D14" dT="2024-01-01T19:38:46.36" personId="{05FD753A-A386-4A0B-AB08-7D456395916B}" id="{0332B8FC-C5BA-4BB4-88DF-748D2F93FC8E}">
    <text>Verified</text>
  </threadedComment>
  <threadedComment ref="D15" dT="2024-01-01T19:38:46.36" personId="{05FD753A-A386-4A0B-AB08-7D456395916B}" id="{A45E00DB-F5A0-4E80-B6CD-50AE55C3A74D}">
    <text>Verified</text>
  </threadedComment>
  <threadedComment ref="D16" dT="2024-01-01T19:38:46.36" personId="{05FD753A-A386-4A0B-AB08-7D456395916B}" id="{493108EB-1003-43E5-9F39-EF7E54BF6563}">
    <text>Verified</text>
  </threadedComment>
  <threadedComment ref="D17" dT="2024-01-01T19:38:46.36" personId="{05FD753A-A386-4A0B-AB08-7D456395916B}" id="{06F6F82B-47C5-4E23-8973-E02A21C89A9A}">
    <text>Verified</text>
  </threadedComment>
  <threadedComment ref="D18" dT="2024-01-01T22:20:43.81" personId="{B2203987-9D07-48A1-98C4-F482ED1873FD}" id="{439A37DA-67D2-459B-9F81-A05F63BAF94B}">
    <text xml:space="preserve">Verified
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I197"/>
  <sheetViews>
    <sheetView workbookViewId="0">
      <pane ySplit="1" topLeftCell="A2" activePane="bottomLeft" state="frozen"/>
      <selection pane="bottomLeft" activeCell="B194" sqref="B194"/>
    </sheetView>
  </sheetViews>
  <sheetFormatPr defaultRowHeight="15" outlineLevelRow="1" x14ac:dyDescent="0.25"/>
  <cols>
    <col min="1" max="1" width="16.140625" customWidth="1"/>
    <col min="2" max="3" width="7.85546875" customWidth="1"/>
    <col min="4" max="4" width="7.42578125" customWidth="1"/>
    <col min="5" max="5" width="6.5703125" customWidth="1"/>
    <col min="6" max="7" width="6.42578125" customWidth="1"/>
    <col min="8" max="8" width="5" customWidth="1"/>
    <col min="9" max="9" width="4.7109375" customWidth="1"/>
    <col min="10" max="10" width="6" customWidth="1"/>
    <col min="11" max="13" width="5" customWidth="1"/>
    <col min="14" max="14" width="6.28515625" customWidth="1"/>
    <col min="15" max="16" width="4.140625" customWidth="1"/>
    <col min="17" max="17" width="6.42578125" customWidth="1"/>
    <col min="18" max="18" width="4.5703125" customWidth="1"/>
    <col min="19" max="19" width="6" customWidth="1"/>
    <col min="20" max="20" width="6.42578125" customWidth="1"/>
    <col min="21" max="21" width="5.85546875" customWidth="1"/>
    <col min="22" max="22" width="4.5703125" customWidth="1"/>
    <col min="23" max="23" width="4.85546875" customWidth="1"/>
    <col min="24" max="24" width="6" customWidth="1"/>
    <col min="25" max="29" width="4.5703125" customWidth="1"/>
    <col min="30" max="31" width="6" customWidth="1"/>
    <col min="32" max="32" width="5" customWidth="1"/>
    <col min="33" max="33" width="4.5703125" customWidth="1"/>
    <col min="34" max="34" width="6" customWidth="1"/>
    <col min="35" max="35" width="5.28515625" customWidth="1"/>
  </cols>
  <sheetData>
    <row r="1" spans="1:35" s="11" customFormat="1" ht="45.75" customHeight="1" x14ac:dyDescent="0.25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7</v>
      </c>
      <c r="I1" s="11" t="s">
        <v>8</v>
      </c>
      <c r="J1" s="11" t="s">
        <v>9</v>
      </c>
      <c r="K1" s="11" t="s">
        <v>10</v>
      </c>
      <c r="L1" s="11" t="s">
        <v>11</v>
      </c>
      <c r="M1" s="11" t="s">
        <v>12</v>
      </c>
      <c r="N1" s="11" t="s">
        <v>13</v>
      </c>
      <c r="O1" s="11" t="s">
        <v>14</v>
      </c>
      <c r="P1" s="11" t="s">
        <v>15</v>
      </c>
      <c r="Q1" s="11" t="s">
        <v>16</v>
      </c>
      <c r="R1" s="11" t="s">
        <v>17</v>
      </c>
      <c r="S1" s="11" t="s">
        <v>18</v>
      </c>
      <c r="T1" s="11" t="s">
        <v>19</v>
      </c>
      <c r="U1" s="11" t="s">
        <v>20</v>
      </c>
      <c r="V1" s="11" t="s">
        <v>21</v>
      </c>
      <c r="W1" s="11" t="s">
        <v>22</v>
      </c>
      <c r="X1" s="11" t="s">
        <v>23</v>
      </c>
      <c r="Y1" s="11" t="s">
        <v>24</v>
      </c>
      <c r="Z1" s="11" t="s">
        <v>25</v>
      </c>
      <c r="AA1" s="11" t="s">
        <v>26</v>
      </c>
      <c r="AB1" s="11" t="s">
        <v>27</v>
      </c>
      <c r="AC1" s="11" t="s">
        <v>28</v>
      </c>
      <c r="AD1" s="11" t="s">
        <v>29</v>
      </c>
      <c r="AE1" s="11" t="s">
        <v>30</v>
      </c>
      <c r="AF1" s="11" t="s">
        <v>31</v>
      </c>
      <c r="AG1" s="11" t="s">
        <v>32</v>
      </c>
      <c r="AH1" s="11" t="s">
        <v>33</v>
      </c>
      <c r="AI1" s="11" t="s">
        <v>34</v>
      </c>
    </row>
    <row r="2" spans="1:35" x14ac:dyDescent="0.25">
      <c r="A2" s="1">
        <v>39113</v>
      </c>
      <c r="B2" s="8">
        <v>1.2500000000000001E-2</v>
      </c>
      <c r="C2">
        <v>6.1999999999999998E-3</v>
      </c>
      <c r="D2">
        <v>1.4059077769160266E-2</v>
      </c>
      <c r="E2">
        <v>1.0499999999999999E-3</v>
      </c>
      <c r="F2">
        <v>-4.5399999999999998E-3</v>
      </c>
      <c r="G2">
        <v>0</v>
      </c>
      <c r="H2">
        <v>0</v>
      </c>
      <c r="I2">
        <v>0</v>
      </c>
      <c r="J2">
        <v>4.96E-3</v>
      </c>
      <c r="K2">
        <v>0</v>
      </c>
      <c r="L2">
        <v>0</v>
      </c>
      <c r="M2">
        <v>0</v>
      </c>
      <c r="N2">
        <v>2.63E-3</v>
      </c>
      <c r="O2" t="s">
        <v>40</v>
      </c>
      <c r="P2">
        <v>0</v>
      </c>
      <c r="Q2">
        <v>6.1500000000000001E-3</v>
      </c>
      <c r="R2">
        <v>0</v>
      </c>
      <c r="S2" s="2">
        <v>5.0000000000000002E-5</v>
      </c>
      <c r="T2">
        <v>0</v>
      </c>
      <c r="U2">
        <v>0</v>
      </c>
      <c r="V2">
        <v>0</v>
      </c>
      <c r="W2">
        <v>0</v>
      </c>
      <c r="X2">
        <v>-1.7180000000000001E-2</v>
      </c>
      <c r="Y2">
        <v>0</v>
      </c>
      <c r="Z2">
        <v>0</v>
      </c>
      <c r="AA2">
        <v>0</v>
      </c>
      <c r="AB2">
        <v>0</v>
      </c>
      <c r="AC2">
        <v>0</v>
      </c>
      <c r="AD2">
        <v>6.2500000000000003E-3</v>
      </c>
      <c r="AE2">
        <v>-1.8000000000000001E-4</v>
      </c>
      <c r="AF2">
        <v>0</v>
      </c>
      <c r="AG2">
        <v>0</v>
      </c>
      <c r="AH2">
        <v>1.332E-2</v>
      </c>
      <c r="AI2">
        <v>0</v>
      </c>
    </row>
    <row r="3" spans="1:35" x14ac:dyDescent="0.25">
      <c r="A3" s="1">
        <v>39141</v>
      </c>
      <c r="B3" s="8">
        <v>1.17E-2</v>
      </c>
      <c r="C3">
        <v>-6.7000000000000002E-3</v>
      </c>
      <c r="D3">
        <v>-2.1846176033528231E-2</v>
      </c>
      <c r="E3">
        <v>-1.31E-3</v>
      </c>
      <c r="F3">
        <v>3.8999999999999998E-3</v>
      </c>
      <c r="G3">
        <v>0</v>
      </c>
      <c r="H3">
        <v>0</v>
      </c>
      <c r="I3">
        <v>0</v>
      </c>
      <c r="J3">
        <v>5.5999999999999995E-4</v>
      </c>
      <c r="K3">
        <v>0</v>
      </c>
      <c r="L3">
        <v>0</v>
      </c>
      <c r="M3">
        <v>0</v>
      </c>
      <c r="N3">
        <v>-2.6199999999999999E-3</v>
      </c>
      <c r="O3">
        <v>0</v>
      </c>
      <c r="P3">
        <v>0</v>
      </c>
      <c r="Q3">
        <v>-3.0200000000000001E-3</v>
      </c>
      <c r="R3">
        <v>0</v>
      </c>
      <c r="S3">
        <v>-1.49E-3</v>
      </c>
      <c r="T3">
        <v>0</v>
      </c>
      <c r="U3">
        <v>0</v>
      </c>
      <c r="V3">
        <v>0</v>
      </c>
      <c r="W3">
        <v>0</v>
      </c>
      <c r="X3">
        <v>1.14E-3</v>
      </c>
      <c r="Y3">
        <v>0</v>
      </c>
      <c r="Z3">
        <v>0</v>
      </c>
      <c r="AA3">
        <v>0</v>
      </c>
      <c r="AB3">
        <v>0</v>
      </c>
      <c r="AC3">
        <v>0</v>
      </c>
      <c r="AD3">
        <v>-2.2100000000000002E-3</v>
      </c>
      <c r="AE3">
        <v>1.74E-3</v>
      </c>
      <c r="AF3">
        <v>0</v>
      </c>
      <c r="AG3">
        <v>0</v>
      </c>
      <c r="AH3">
        <v>1.499E-2</v>
      </c>
      <c r="AI3">
        <v>0</v>
      </c>
    </row>
    <row r="4" spans="1:35" x14ac:dyDescent="0.25">
      <c r="A4" s="1">
        <v>39171</v>
      </c>
      <c r="B4" s="8">
        <v>1.38E-2</v>
      </c>
      <c r="C4">
        <v>1.4999999999999999E-2</v>
      </c>
      <c r="D4">
        <v>9.9799828968305526E-3</v>
      </c>
      <c r="E4">
        <v>9.8099999999999993E-3</v>
      </c>
      <c r="F4">
        <v>1.66E-3</v>
      </c>
      <c r="G4">
        <v>0</v>
      </c>
      <c r="H4">
        <v>0</v>
      </c>
      <c r="I4">
        <v>0</v>
      </c>
      <c r="J4">
        <v>4.0400000000000002E-3</v>
      </c>
      <c r="K4">
        <v>0</v>
      </c>
      <c r="L4">
        <v>0</v>
      </c>
      <c r="M4">
        <v>0</v>
      </c>
      <c r="N4">
        <v>5.2999999999999998E-4</v>
      </c>
      <c r="O4">
        <v>0</v>
      </c>
      <c r="P4">
        <v>0</v>
      </c>
      <c r="Q4">
        <v>-2.0400000000000001E-3</v>
      </c>
      <c r="R4">
        <v>0</v>
      </c>
      <c r="S4">
        <v>3.1099999999999999E-3</v>
      </c>
      <c r="T4">
        <v>0</v>
      </c>
      <c r="U4">
        <v>0</v>
      </c>
      <c r="V4">
        <v>0</v>
      </c>
      <c r="W4">
        <v>0</v>
      </c>
      <c r="X4">
        <v>-7.1599999999999997E-3</v>
      </c>
      <c r="Y4">
        <v>0</v>
      </c>
      <c r="Z4">
        <v>0</v>
      </c>
      <c r="AA4">
        <v>0</v>
      </c>
      <c r="AB4">
        <v>0</v>
      </c>
      <c r="AC4">
        <v>0</v>
      </c>
      <c r="AD4">
        <v>7.1500000000000001E-3</v>
      </c>
      <c r="AE4">
        <v>-3.15E-3</v>
      </c>
      <c r="AF4">
        <v>0</v>
      </c>
      <c r="AG4">
        <v>0</v>
      </c>
      <c r="AH4">
        <v>-1.4999999999999999E-4</v>
      </c>
      <c r="AI4">
        <v>0</v>
      </c>
    </row>
    <row r="5" spans="1:35" x14ac:dyDescent="0.25">
      <c r="A5" s="1">
        <v>39202</v>
      </c>
      <c r="B5" s="8">
        <v>0.1051</v>
      </c>
      <c r="C5">
        <v>5.4800000000000001E-2</v>
      </c>
      <c r="D5">
        <v>4.3290690602424187E-2</v>
      </c>
      <c r="E5">
        <v>7.4200000000000004E-3</v>
      </c>
      <c r="F5">
        <v>5.4129999999999998E-2</v>
      </c>
      <c r="G5">
        <v>0</v>
      </c>
      <c r="H5">
        <v>0</v>
      </c>
      <c r="I5">
        <v>0</v>
      </c>
      <c r="J5">
        <v>8.7899999999999992E-3</v>
      </c>
      <c r="K5">
        <v>0</v>
      </c>
      <c r="L5">
        <v>0</v>
      </c>
      <c r="M5">
        <v>0</v>
      </c>
      <c r="N5">
        <v>1.6000000000000001E-3</v>
      </c>
      <c r="O5">
        <v>0</v>
      </c>
      <c r="P5">
        <v>0</v>
      </c>
      <c r="Q5">
        <v>8.3899999999999999E-3</v>
      </c>
      <c r="R5">
        <v>0</v>
      </c>
      <c r="S5">
        <v>7.1700000000000002E-3</v>
      </c>
      <c r="T5">
        <v>0</v>
      </c>
      <c r="U5">
        <v>0</v>
      </c>
      <c r="V5">
        <v>0</v>
      </c>
      <c r="W5">
        <v>0</v>
      </c>
      <c r="X5">
        <v>1.4279999999999999E-2</v>
      </c>
      <c r="Y5">
        <v>0</v>
      </c>
      <c r="Z5">
        <v>0</v>
      </c>
      <c r="AA5">
        <v>0</v>
      </c>
      <c r="AB5">
        <v>0</v>
      </c>
      <c r="AC5">
        <v>0</v>
      </c>
      <c r="AD5">
        <v>-8.9999999999999998E-4</v>
      </c>
      <c r="AE5">
        <v>-1.9499999999999999E-3</v>
      </c>
      <c r="AF5">
        <v>0</v>
      </c>
      <c r="AG5">
        <v>0</v>
      </c>
      <c r="AH5">
        <v>6.1700000000000001E-3</v>
      </c>
      <c r="AI5">
        <v>0</v>
      </c>
    </row>
    <row r="6" spans="1:35" x14ac:dyDescent="0.25">
      <c r="A6" s="1">
        <v>39233</v>
      </c>
      <c r="B6" s="8">
        <v>6.0600000000000001E-2</v>
      </c>
      <c r="C6">
        <v>3.7600000000000001E-2</v>
      </c>
      <c r="D6">
        <v>3.254922870993493E-2</v>
      </c>
      <c r="E6">
        <v>2.1430000000000001E-2</v>
      </c>
      <c r="F6">
        <v>1.273E-2</v>
      </c>
      <c r="G6">
        <v>0</v>
      </c>
      <c r="H6">
        <v>0</v>
      </c>
      <c r="I6">
        <v>0</v>
      </c>
      <c r="J6">
        <v>8.2100000000000003E-3</v>
      </c>
      <c r="K6">
        <v>0</v>
      </c>
      <c r="L6">
        <v>0</v>
      </c>
      <c r="M6">
        <v>0</v>
      </c>
      <c r="N6">
        <v>1.32E-3</v>
      </c>
      <c r="O6">
        <v>0</v>
      </c>
      <c r="P6">
        <v>0</v>
      </c>
      <c r="Q6">
        <v>-5.1999999999999995E-4</v>
      </c>
      <c r="R6">
        <v>0</v>
      </c>
      <c r="S6">
        <v>4.7000000000000002E-3</v>
      </c>
      <c r="T6">
        <v>0</v>
      </c>
      <c r="U6">
        <v>0</v>
      </c>
      <c r="V6">
        <v>0</v>
      </c>
      <c r="W6">
        <v>0</v>
      </c>
      <c r="X6">
        <v>5.3200000000000001E-3</v>
      </c>
      <c r="Y6">
        <v>0</v>
      </c>
      <c r="Z6">
        <v>0</v>
      </c>
      <c r="AA6">
        <v>0</v>
      </c>
      <c r="AB6">
        <v>0</v>
      </c>
      <c r="AC6">
        <v>0</v>
      </c>
      <c r="AD6">
        <v>6.77E-3</v>
      </c>
      <c r="AE6">
        <v>3.5100000000000001E-3</v>
      </c>
      <c r="AF6">
        <v>0</v>
      </c>
      <c r="AG6">
        <v>0</v>
      </c>
      <c r="AH6">
        <v>-2.8500000000000001E-3</v>
      </c>
      <c r="AI6">
        <v>0</v>
      </c>
    </row>
    <row r="7" spans="1:35" x14ac:dyDescent="0.25">
      <c r="A7" s="1">
        <v>39262</v>
      </c>
      <c r="B7" s="8">
        <v>1.29E-2</v>
      </c>
      <c r="C7">
        <v>-8.0000000000000002E-3</v>
      </c>
      <c r="D7">
        <v>-1.7816322202167556E-2</v>
      </c>
      <c r="E7">
        <v>6.9999999999999999E-4</v>
      </c>
      <c r="F7">
        <v>-1.06E-3</v>
      </c>
      <c r="G7">
        <v>0</v>
      </c>
      <c r="H7">
        <v>0</v>
      </c>
      <c r="I7">
        <v>0</v>
      </c>
      <c r="J7">
        <v>-3.6000000000000002E-4</v>
      </c>
      <c r="K7">
        <v>0</v>
      </c>
      <c r="L7">
        <v>0</v>
      </c>
      <c r="M7">
        <v>0</v>
      </c>
      <c r="N7">
        <v>-2.31E-3</v>
      </c>
      <c r="O7">
        <v>0</v>
      </c>
      <c r="P7">
        <v>0</v>
      </c>
      <c r="Q7">
        <v>-6.5199999999999998E-3</v>
      </c>
      <c r="R7">
        <v>0</v>
      </c>
      <c r="S7">
        <v>4.2000000000000002E-4</v>
      </c>
      <c r="T7">
        <v>0</v>
      </c>
      <c r="U7">
        <v>0</v>
      </c>
      <c r="V7">
        <v>0</v>
      </c>
      <c r="W7">
        <v>0</v>
      </c>
      <c r="X7">
        <v>1.9259999999999999E-2</v>
      </c>
      <c r="Y7">
        <v>0</v>
      </c>
      <c r="Z7">
        <v>0</v>
      </c>
      <c r="AA7">
        <v>0</v>
      </c>
      <c r="AB7">
        <v>0</v>
      </c>
      <c r="AC7">
        <v>0</v>
      </c>
      <c r="AD7">
        <v>3.8999999999999999E-4</v>
      </c>
      <c r="AE7">
        <v>6.6400000000000001E-3</v>
      </c>
      <c r="AF7">
        <v>0</v>
      </c>
      <c r="AG7">
        <v>0</v>
      </c>
      <c r="AH7">
        <v>-4.3E-3</v>
      </c>
      <c r="AI7">
        <v>0</v>
      </c>
    </row>
    <row r="8" spans="1:35" x14ac:dyDescent="0.25">
      <c r="A8" s="1">
        <v>39294</v>
      </c>
      <c r="B8" s="8">
        <v>-1.2800000000000001E-2</v>
      </c>
      <c r="C8">
        <v>-8.3999999999999995E-3</v>
      </c>
      <c r="D8">
        <v>-3.1981878316802548E-2</v>
      </c>
      <c r="E8">
        <v>7.9600000000000001E-3</v>
      </c>
      <c r="F8">
        <v>1.481E-2</v>
      </c>
      <c r="G8">
        <v>0</v>
      </c>
      <c r="H8">
        <v>0</v>
      </c>
      <c r="I8">
        <v>0</v>
      </c>
      <c r="J8">
        <v>1.1000000000000001E-3</v>
      </c>
      <c r="K8">
        <v>0</v>
      </c>
      <c r="L8">
        <v>0</v>
      </c>
      <c r="M8">
        <v>0</v>
      </c>
      <c r="N8">
        <v>-3.3400000000000001E-3</v>
      </c>
      <c r="O8">
        <v>0</v>
      </c>
      <c r="P8">
        <v>0</v>
      </c>
      <c r="Q8">
        <v>-8.3800000000000003E-3</v>
      </c>
      <c r="R8">
        <v>0</v>
      </c>
      <c r="S8">
        <v>-5.6899999999999997E-3</v>
      </c>
      <c r="T8">
        <v>0</v>
      </c>
      <c r="U8">
        <v>0</v>
      </c>
      <c r="V8">
        <v>0</v>
      </c>
      <c r="W8">
        <v>0</v>
      </c>
      <c r="X8">
        <v>1.077E-2</v>
      </c>
      <c r="Y8">
        <v>0</v>
      </c>
      <c r="Z8">
        <v>0</v>
      </c>
      <c r="AA8">
        <v>0</v>
      </c>
      <c r="AB8">
        <v>0</v>
      </c>
      <c r="AC8">
        <v>0</v>
      </c>
      <c r="AD8">
        <v>-4.7800000000000004E-3</v>
      </c>
      <c r="AE8">
        <v>-8.8000000000000005E-3</v>
      </c>
      <c r="AF8">
        <v>0</v>
      </c>
      <c r="AG8">
        <v>0</v>
      </c>
      <c r="AH8">
        <v>-1.643E-2</v>
      </c>
      <c r="AI8">
        <v>0</v>
      </c>
    </row>
    <row r="9" spans="1:35" x14ac:dyDescent="0.25">
      <c r="A9" s="1">
        <v>39325</v>
      </c>
      <c r="B9" s="8">
        <v>1.47E-2</v>
      </c>
      <c r="C9">
        <v>2.06E-2</v>
      </c>
      <c r="D9">
        <v>1.2863571531556817E-2</v>
      </c>
      <c r="E9">
        <v>5.1000000000000004E-3</v>
      </c>
      <c r="F9">
        <v>1.74E-3</v>
      </c>
      <c r="G9">
        <v>0</v>
      </c>
      <c r="H9">
        <v>0</v>
      </c>
      <c r="I9">
        <v>0</v>
      </c>
      <c r="J9">
        <v>-3.8500000000000001E-3</v>
      </c>
      <c r="K9">
        <v>0</v>
      </c>
      <c r="L9">
        <v>0</v>
      </c>
      <c r="M9">
        <v>0</v>
      </c>
      <c r="N9">
        <v>1.82E-3</v>
      </c>
      <c r="O9">
        <v>0</v>
      </c>
      <c r="P9">
        <v>0</v>
      </c>
      <c r="Q9">
        <v>1.16E-3</v>
      </c>
      <c r="R9">
        <v>0</v>
      </c>
      <c r="S9">
        <v>2.8800000000000002E-3</v>
      </c>
      <c r="T9">
        <v>0</v>
      </c>
      <c r="U9">
        <v>0</v>
      </c>
      <c r="V9">
        <v>0</v>
      </c>
      <c r="W9">
        <v>0</v>
      </c>
      <c r="X9">
        <v>1.18E-2</v>
      </c>
      <c r="Y9">
        <v>0</v>
      </c>
      <c r="Z9">
        <v>0</v>
      </c>
      <c r="AA9">
        <v>0</v>
      </c>
      <c r="AB9">
        <v>0</v>
      </c>
      <c r="AC9">
        <v>0</v>
      </c>
      <c r="AD9">
        <v>1.81E-3</v>
      </c>
      <c r="AE9">
        <v>-2.2699999999999999E-3</v>
      </c>
      <c r="AF9">
        <v>0</v>
      </c>
      <c r="AG9">
        <v>0</v>
      </c>
      <c r="AH9">
        <v>-5.4799999999999996E-3</v>
      </c>
      <c r="AI9">
        <v>0</v>
      </c>
    </row>
    <row r="10" spans="1:35" x14ac:dyDescent="0.25">
      <c r="A10" s="1">
        <v>39353</v>
      </c>
      <c r="B10" s="8">
        <v>6.0199999999999997E-2</v>
      </c>
      <c r="C10">
        <v>5.0299999999999997E-2</v>
      </c>
      <c r="D10">
        <v>3.5794008343299488E-2</v>
      </c>
      <c r="E10">
        <v>1.082E-2</v>
      </c>
      <c r="F10">
        <v>1.6570000000000001E-2</v>
      </c>
      <c r="G10">
        <v>0</v>
      </c>
      <c r="H10">
        <v>0</v>
      </c>
      <c r="I10">
        <v>0</v>
      </c>
      <c r="J10">
        <v>3.5100000000000001E-3</v>
      </c>
      <c r="K10">
        <v>0</v>
      </c>
      <c r="L10">
        <v>0</v>
      </c>
      <c r="M10">
        <v>0</v>
      </c>
      <c r="N10">
        <v>2.3500000000000001E-3</v>
      </c>
      <c r="O10">
        <v>0</v>
      </c>
      <c r="P10">
        <v>0</v>
      </c>
      <c r="Q10">
        <v>2.9199999999999999E-3</v>
      </c>
      <c r="R10">
        <v>0</v>
      </c>
      <c r="S10">
        <v>1.06E-2</v>
      </c>
      <c r="T10">
        <v>0</v>
      </c>
      <c r="U10">
        <v>0</v>
      </c>
      <c r="V10">
        <v>0</v>
      </c>
      <c r="W10">
        <v>0</v>
      </c>
      <c r="X10">
        <v>6.2500000000000003E-3</v>
      </c>
      <c r="Y10">
        <v>0</v>
      </c>
      <c r="Z10">
        <v>0</v>
      </c>
      <c r="AA10">
        <v>0</v>
      </c>
      <c r="AB10">
        <v>0</v>
      </c>
      <c r="AC10">
        <v>0</v>
      </c>
      <c r="AD10">
        <v>6.1199999999999996E-3</v>
      </c>
      <c r="AE10">
        <v>2.0200000000000001E-3</v>
      </c>
      <c r="AF10">
        <v>0</v>
      </c>
      <c r="AG10">
        <v>0</v>
      </c>
      <c r="AH10">
        <v>-9.6000000000000002E-4</v>
      </c>
      <c r="AI10">
        <v>0</v>
      </c>
    </row>
    <row r="11" spans="1:35" x14ac:dyDescent="0.25">
      <c r="A11" s="1">
        <v>39386</v>
      </c>
      <c r="B11" s="8">
        <v>2.7300000000000001E-2</v>
      </c>
      <c r="C11">
        <v>3.4700000000000002E-2</v>
      </c>
      <c r="D11">
        <v>1.4822338300311211E-2</v>
      </c>
      <c r="E11">
        <v>2.3769999999999999E-2</v>
      </c>
      <c r="F11">
        <v>-4.2900000000000004E-3</v>
      </c>
      <c r="G11">
        <v>0</v>
      </c>
      <c r="H11">
        <v>0</v>
      </c>
      <c r="I11">
        <v>0</v>
      </c>
      <c r="J11">
        <v>-4.4099999999999999E-3</v>
      </c>
      <c r="K11">
        <v>0</v>
      </c>
      <c r="L11">
        <v>0</v>
      </c>
      <c r="M11">
        <v>0</v>
      </c>
      <c r="N11">
        <v>6.9999999999999999E-4</v>
      </c>
      <c r="O11">
        <v>0</v>
      </c>
      <c r="P11">
        <v>0</v>
      </c>
      <c r="Q11">
        <v>3.3999999999999998E-3</v>
      </c>
      <c r="R11">
        <v>0</v>
      </c>
      <c r="S11">
        <v>9.6900000000000007E-3</v>
      </c>
      <c r="T11">
        <v>0</v>
      </c>
      <c r="U11">
        <v>0</v>
      </c>
      <c r="V11">
        <v>0</v>
      </c>
      <c r="W11">
        <v>0</v>
      </c>
      <c r="X11">
        <v>-2.3700000000000001E-3</v>
      </c>
      <c r="Y11">
        <v>0</v>
      </c>
      <c r="Z11">
        <v>0</v>
      </c>
      <c r="AA11">
        <v>0</v>
      </c>
      <c r="AB11">
        <v>0</v>
      </c>
      <c r="AC11">
        <v>0</v>
      </c>
      <c r="AD11">
        <v>-3.8999999999999999E-4</v>
      </c>
      <c r="AE11">
        <v>5.2399999999999999E-3</v>
      </c>
      <c r="AF11">
        <v>0</v>
      </c>
      <c r="AG11">
        <v>0</v>
      </c>
      <c r="AH11">
        <v>-4.0800000000000003E-3</v>
      </c>
      <c r="AI11">
        <v>0</v>
      </c>
    </row>
    <row r="12" spans="1:35" x14ac:dyDescent="0.25">
      <c r="A12" s="1">
        <v>39416</v>
      </c>
      <c r="B12" s="8">
        <v>-3.49E-2</v>
      </c>
      <c r="C12">
        <v>-1.7000000000000001E-2</v>
      </c>
      <c r="D12">
        <v>-4.4043417224814418E-2</v>
      </c>
      <c r="E12">
        <v>-4.0699999999999998E-3</v>
      </c>
      <c r="F12">
        <v>1.58E-3</v>
      </c>
      <c r="G12">
        <v>0</v>
      </c>
      <c r="H12">
        <v>0</v>
      </c>
      <c r="I12">
        <v>0</v>
      </c>
      <c r="J12">
        <v>-3.63E-3</v>
      </c>
      <c r="K12">
        <v>0</v>
      </c>
      <c r="L12">
        <v>0</v>
      </c>
      <c r="M12">
        <v>0</v>
      </c>
      <c r="N12">
        <v>-4.2700000000000004E-3</v>
      </c>
      <c r="O12">
        <v>0</v>
      </c>
      <c r="P12">
        <v>0</v>
      </c>
      <c r="Q12">
        <v>-2.9399999999999999E-3</v>
      </c>
      <c r="R12">
        <v>0</v>
      </c>
      <c r="S12">
        <v>3.6999999999999999E-4</v>
      </c>
      <c r="T12">
        <v>0</v>
      </c>
      <c r="U12">
        <v>0</v>
      </c>
      <c r="V12">
        <v>0</v>
      </c>
      <c r="W12">
        <v>0</v>
      </c>
      <c r="X12">
        <v>-1.085E-2</v>
      </c>
      <c r="Y12">
        <v>0</v>
      </c>
      <c r="Z12">
        <v>0</v>
      </c>
      <c r="AA12">
        <v>0</v>
      </c>
      <c r="AB12">
        <v>0</v>
      </c>
      <c r="AC12">
        <v>0</v>
      </c>
      <c r="AD12">
        <v>-8.5699999999999995E-3</v>
      </c>
      <c r="AE12">
        <v>-6.8500000000000002E-3</v>
      </c>
      <c r="AF12">
        <v>0</v>
      </c>
      <c r="AG12">
        <v>0</v>
      </c>
      <c r="AH12">
        <v>4.3899999999999998E-3</v>
      </c>
      <c r="AI12">
        <v>0</v>
      </c>
    </row>
    <row r="13" spans="1:35" x14ac:dyDescent="0.25">
      <c r="A13" s="1">
        <v>39447</v>
      </c>
      <c r="B13" s="8">
        <v>1.29E-2</v>
      </c>
      <c r="C13">
        <v>6.3E-3</v>
      </c>
      <c r="D13">
        <v>-8.6285090339686121E-3</v>
      </c>
      <c r="E13">
        <v>8.6999999999999994E-3</v>
      </c>
      <c r="F13">
        <v>2.3E-3</v>
      </c>
      <c r="G13">
        <v>0</v>
      </c>
      <c r="H13">
        <v>0</v>
      </c>
      <c r="I13">
        <v>0</v>
      </c>
      <c r="J13">
        <v>9.2000000000000003E-4</v>
      </c>
      <c r="K13">
        <v>0</v>
      </c>
      <c r="L13">
        <v>0</v>
      </c>
      <c r="M13">
        <v>0</v>
      </c>
      <c r="N13">
        <v>-1.57E-3</v>
      </c>
      <c r="O13">
        <v>0</v>
      </c>
      <c r="P13">
        <v>0</v>
      </c>
      <c r="Q13">
        <v>-4.3200000000000001E-3</v>
      </c>
      <c r="R13">
        <v>0</v>
      </c>
      <c r="S13">
        <v>7.5000000000000002E-4</v>
      </c>
      <c r="T13">
        <v>0</v>
      </c>
      <c r="U13">
        <v>0</v>
      </c>
      <c r="V13">
        <v>0</v>
      </c>
      <c r="W13">
        <v>0</v>
      </c>
      <c r="X13">
        <v>7.8600000000000007E-3</v>
      </c>
      <c r="Y13">
        <v>0</v>
      </c>
      <c r="Z13">
        <v>0</v>
      </c>
      <c r="AA13">
        <v>0</v>
      </c>
      <c r="AB13">
        <v>0</v>
      </c>
      <c r="AC13">
        <v>0</v>
      </c>
      <c r="AD13">
        <v>8.77E-3</v>
      </c>
      <c r="AE13">
        <v>4.0000000000000002E-4</v>
      </c>
      <c r="AF13">
        <v>0</v>
      </c>
      <c r="AG13">
        <v>0</v>
      </c>
      <c r="AH13">
        <v>-1.093E-2</v>
      </c>
      <c r="AI13">
        <v>0</v>
      </c>
    </row>
    <row r="14" spans="1:35" x14ac:dyDescent="0.25">
      <c r="A14" s="1">
        <v>39478</v>
      </c>
      <c r="B14" s="8">
        <v>-9.6299999999999997E-2</v>
      </c>
      <c r="C14">
        <v>-5.9900000000000002E-2</v>
      </c>
      <c r="D14">
        <v>-6.116343193593643E-2</v>
      </c>
      <c r="E14">
        <v>-3.1660000000000001E-2</v>
      </c>
      <c r="F14">
        <v>-1.6129999999999999E-2</v>
      </c>
      <c r="G14">
        <v>-4.8900000000000002E-3</v>
      </c>
      <c r="H14">
        <v>0</v>
      </c>
      <c r="I14">
        <v>0</v>
      </c>
      <c r="J14">
        <v>-1.67E-3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9.4599999999999997E-3</v>
      </c>
      <c r="R14">
        <v>0</v>
      </c>
      <c r="S14">
        <v>-9.0500000000000008E-3</v>
      </c>
      <c r="T14">
        <v>0</v>
      </c>
      <c r="U14">
        <v>0</v>
      </c>
      <c r="V14">
        <v>0</v>
      </c>
      <c r="W14">
        <v>0</v>
      </c>
      <c r="X14">
        <v>-2.7720000000000002E-2</v>
      </c>
      <c r="Y14">
        <v>0</v>
      </c>
      <c r="Z14">
        <v>0</v>
      </c>
      <c r="AA14">
        <v>0</v>
      </c>
      <c r="AB14">
        <v>0</v>
      </c>
      <c r="AC14">
        <v>0</v>
      </c>
      <c r="AD14">
        <v>-6.4200000000000004E-3</v>
      </c>
      <c r="AE14">
        <v>-7.1300000000000001E-3</v>
      </c>
      <c r="AF14">
        <v>0</v>
      </c>
      <c r="AG14">
        <v>0</v>
      </c>
      <c r="AH14">
        <v>-1.06E-3</v>
      </c>
      <c r="AI14">
        <v>0</v>
      </c>
    </row>
    <row r="15" spans="1:35" x14ac:dyDescent="0.25">
      <c r="A15" s="1">
        <v>39507</v>
      </c>
      <c r="B15" s="8">
        <v>-6.2300000000000001E-2</v>
      </c>
      <c r="C15">
        <v>-3.6999999999999998E-2</v>
      </c>
      <c r="D15">
        <v>-3.4761192772624461E-2</v>
      </c>
      <c r="E15">
        <v>-7.6400000000000001E-3</v>
      </c>
      <c r="F15">
        <v>-1.703E-2</v>
      </c>
      <c r="G15" s="12">
        <v>1.0000000000000001E-5</v>
      </c>
      <c r="H15">
        <v>0</v>
      </c>
      <c r="I15">
        <v>0</v>
      </c>
      <c r="J15">
        <v>1.89E-3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-1.4239999999999999E-2</v>
      </c>
      <c r="R15">
        <v>0</v>
      </c>
      <c r="S15">
        <v>1.6900000000000001E-3</v>
      </c>
      <c r="T15">
        <v>0</v>
      </c>
      <c r="U15">
        <v>0</v>
      </c>
      <c r="V15">
        <v>0</v>
      </c>
      <c r="W15">
        <v>0</v>
      </c>
      <c r="X15">
        <v>-1.3010000000000001E-2</v>
      </c>
      <c r="Y15">
        <v>0</v>
      </c>
      <c r="Z15">
        <v>0</v>
      </c>
      <c r="AA15">
        <v>0</v>
      </c>
      <c r="AB15">
        <v>0</v>
      </c>
      <c r="AC15">
        <v>0</v>
      </c>
      <c r="AD15">
        <v>-9.5099999999999994E-3</v>
      </c>
      <c r="AE15">
        <v>5.3E-3</v>
      </c>
      <c r="AF15">
        <v>0</v>
      </c>
      <c r="AG15">
        <v>0</v>
      </c>
      <c r="AH15">
        <v>-9.7900000000000001E-3</v>
      </c>
      <c r="AI15">
        <v>0</v>
      </c>
    </row>
    <row r="16" spans="1:35" x14ac:dyDescent="0.25">
      <c r="A16" s="1">
        <v>39538</v>
      </c>
      <c r="B16" s="8">
        <v>3.4799999999999998E-2</v>
      </c>
      <c r="C16">
        <v>1.7500000000000002E-2</v>
      </c>
      <c r="D16">
        <v>-5.9596236145298409E-3</v>
      </c>
      <c r="E16">
        <v>1.478E-2</v>
      </c>
      <c r="F16">
        <v>1.059E-2</v>
      </c>
      <c r="G16">
        <v>-1.017E-2</v>
      </c>
      <c r="H16">
        <v>0</v>
      </c>
      <c r="I16">
        <v>0</v>
      </c>
      <c r="J16">
        <v>8.2400000000000008E-3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5.6600000000000001E-3</v>
      </c>
      <c r="R16">
        <v>0</v>
      </c>
      <c r="S16">
        <v>3.0699999999999998E-3</v>
      </c>
      <c r="T16">
        <v>0</v>
      </c>
      <c r="U16">
        <v>0</v>
      </c>
      <c r="V16">
        <v>0</v>
      </c>
      <c r="W16">
        <v>0</v>
      </c>
      <c r="X16">
        <v>-7.4799999999999997E-3</v>
      </c>
      <c r="Y16">
        <v>0</v>
      </c>
      <c r="Z16">
        <v>0</v>
      </c>
      <c r="AA16">
        <v>0</v>
      </c>
      <c r="AB16">
        <v>0</v>
      </c>
      <c r="AC16">
        <v>0</v>
      </c>
      <c r="AD16">
        <v>9.9600000000000001E-3</v>
      </c>
      <c r="AE16">
        <v>5.4400000000000004E-3</v>
      </c>
      <c r="AF16">
        <v>0</v>
      </c>
      <c r="AG16">
        <v>0</v>
      </c>
      <c r="AH16">
        <v>-5.28E-3</v>
      </c>
      <c r="AI16">
        <v>0</v>
      </c>
    </row>
    <row r="17" spans="1:35" x14ac:dyDescent="0.25">
      <c r="A17" s="1">
        <v>39568</v>
      </c>
      <c r="B17" s="8">
        <v>8.8400000000000006E-2</v>
      </c>
      <c r="C17">
        <v>3.27E-2</v>
      </c>
      <c r="D17">
        <v>4.7546697913198877E-2</v>
      </c>
      <c r="E17">
        <v>2.1219999999999999E-2</v>
      </c>
      <c r="F17">
        <v>1.0279999999999999E-2</v>
      </c>
      <c r="G17">
        <v>1.4109999999999999E-2</v>
      </c>
      <c r="H17">
        <v>0</v>
      </c>
      <c r="I17">
        <v>0</v>
      </c>
      <c r="J17">
        <v>5.0499999999999998E-3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1.183E-2</v>
      </c>
      <c r="R17">
        <v>0</v>
      </c>
      <c r="S17">
        <v>6.8300000000000001E-3</v>
      </c>
      <c r="T17">
        <v>0</v>
      </c>
      <c r="U17">
        <v>0</v>
      </c>
      <c r="V17">
        <v>0</v>
      </c>
      <c r="W17">
        <v>0</v>
      </c>
      <c r="X17">
        <v>3.8400000000000001E-3</v>
      </c>
      <c r="Y17">
        <v>0</v>
      </c>
      <c r="Z17">
        <v>0</v>
      </c>
      <c r="AA17">
        <v>0</v>
      </c>
      <c r="AB17">
        <v>0</v>
      </c>
      <c r="AC17">
        <v>0</v>
      </c>
      <c r="AD17">
        <v>2.1099999999999999E-3</v>
      </c>
      <c r="AE17">
        <v>9.4500000000000001E-3</v>
      </c>
      <c r="AF17">
        <v>0</v>
      </c>
      <c r="AG17">
        <v>0</v>
      </c>
      <c r="AH17">
        <v>3.64E-3</v>
      </c>
      <c r="AI17">
        <v>0</v>
      </c>
    </row>
    <row r="18" spans="1:35" x14ac:dyDescent="0.25">
      <c r="A18" s="1">
        <v>39598</v>
      </c>
      <c r="B18" s="8">
        <v>3.8699999999999998E-2</v>
      </c>
      <c r="C18">
        <v>2.2200000000000001E-2</v>
      </c>
      <c r="D18">
        <v>1.0674181657577053E-2</v>
      </c>
      <c r="E18">
        <v>8.5100000000000002E-3</v>
      </c>
      <c r="F18">
        <v>3.8E-3</v>
      </c>
      <c r="G18">
        <v>-1.99E-3</v>
      </c>
      <c r="H18">
        <v>0</v>
      </c>
      <c r="I18">
        <v>0</v>
      </c>
      <c r="J18">
        <v>9.3000000000000005E-4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-9.7599999999999996E-3</v>
      </c>
      <c r="R18">
        <v>0</v>
      </c>
      <c r="S18">
        <v>-4.4000000000000002E-4</v>
      </c>
      <c r="T18">
        <v>0</v>
      </c>
      <c r="U18">
        <v>0</v>
      </c>
      <c r="V18">
        <v>0</v>
      </c>
      <c r="W18">
        <v>0</v>
      </c>
      <c r="X18">
        <v>2.019E-2</v>
      </c>
      <c r="Y18">
        <v>0</v>
      </c>
      <c r="Z18">
        <v>0</v>
      </c>
      <c r="AA18">
        <v>0</v>
      </c>
      <c r="AB18">
        <v>0</v>
      </c>
      <c r="AC18">
        <v>0</v>
      </c>
      <c r="AD18">
        <v>3.0699999999999998E-3</v>
      </c>
      <c r="AE18">
        <v>1.8699999999999999E-3</v>
      </c>
      <c r="AF18">
        <v>0</v>
      </c>
      <c r="AG18">
        <v>0</v>
      </c>
      <c r="AH18">
        <v>1.2500000000000001E-2</v>
      </c>
      <c r="AI18">
        <v>0</v>
      </c>
    </row>
    <row r="19" spans="1:35" x14ac:dyDescent="0.25">
      <c r="A19" s="1">
        <v>39629</v>
      </c>
      <c r="B19" s="8">
        <v>-0.14430000000000001</v>
      </c>
      <c r="C19">
        <v>-0.108</v>
      </c>
      <c r="D19">
        <v>-8.5962384902803612E-2</v>
      </c>
      <c r="E19">
        <v>-1.129E-2</v>
      </c>
      <c r="F19">
        <v>-1.0160000000000001E-2</v>
      </c>
      <c r="G19">
        <v>-2.06E-2</v>
      </c>
      <c r="H19">
        <v>0</v>
      </c>
      <c r="I19">
        <v>0</v>
      </c>
      <c r="J19">
        <v>-1.0670000000000001E-2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-2.0209999999999999E-2</v>
      </c>
      <c r="R19">
        <v>0</v>
      </c>
      <c r="S19">
        <v>-4.5900000000000003E-3</v>
      </c>
      <c r="T19">
        <v>0</v>
      </c>
      <c r="U19">
        <v>0</v>
      </c>
      <c r="V19">
        <v>0</v>
      </c>
      <c r="W19">
        <v>0</v>
      </c>
      <c r="X19">
        <v>-2.4209999999999999E-2</v>
      </c>
      <c r="Y19">
        <v>0</v>
      </c>
      <c r="Z19">
        <v>0</v>
      </c>
      <c r="AA19">
        <v>0</v>
      </c>
      <c r="AB19">
        <v>0</v>
      </c>
      <c r="AC19">
        <v>0</v>
      </c>
      <c r="AD19">
        <v>-1.5559999999999999E-2</v>
      </c>
      <c r="AE19">
        <v>-4.7200000000000002E-3</v>
      </c>
      <c r="AF19">
        <v>0</v>
      </c>
      <c r="AG19">
        <v>0</v>
      </c>
      <c r="AH19">
        <v>-2.2290000000000001E-2</v>
      </c>
      <c r="AI19">
        <v>0</v>
      </c>
    </row>
    <row r="20" spans="1:35" x14ac:dyDescent="0.25">
      <c r="A20" s="1">
        <v>39660</v>
      </c>
      <c r="B20" s="8">
        <v>-3.4200000000000001E-2</v>
      </c>
      <c r="C20">
        <v>8.3999999999999995E-3</v>
      </c>
      <c r="D20">
        <v>-9.8593710937500134E-3</v>
      </c>
      <c r="E20">
        <v>-5.0699999999999999E-3</v>
      </c>
      <c r="F20">
        <v>4.1000000000000003E-3</v>
      </c>
      <c r="G20">
        <v>-7.0099999999999997E-3</v>
      </c>
      <c r="H20">
        <v>0</v>
      </c>
      <c r="I20">
        <v>0</v>
      </c>
      <c r="J20">
        <v>-5.2599999999999999E-3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1.9529999999999999E-2</v>
      </c>
      <c r="R20">
        <v>0</v>
      </c>
      <c r="S20">
        <v>6.3499999999999997E-3</v>
      </c>
      <c r="T20">
        <v>0</v>
      </c>
      <c r="U20">
        <v>0</v>
      </c>
      <c r="V20">
        <v>0</v>
      </c>
      <c r="W20">
        <v>0</v>
      </c>
      <c r="X20">
        <v>-3.8890000000000001E-2</v>
      </c>
      <c r="Y20">
        <v>0</v>
      </c>
      <c r="Z20">
        <v>0</v>
      </c>
      <c r="AA20">
        <v>0</v>
      </c>
      <c r="AB20">
        <v>0</v>
      </c>
      <c r="AC20">
        <v>0</v>
      </c>
      <c r="AD20">
        <v>-7.3600000000000002E-3</v>
      </c>
      <c r="AE20">
        <v>-8.0000000000000002E-3</v>
      </c>
      <c r="AF20">
        <v>0</v>
      </c>
      <c r="AG20">
        <v>0</v>
      </c>
      <c r="AH20">
        <v>7.3800000000000003E-3</v>
      </c>
      <c r="AI20">
        <v>0</v>
      </c>
    </row>
    <row r="21" spans="1:35" x14ac:dyDescent="0.25">
      <c r="A21" s="1">
        <v>39689</v>
      </c>
      <c r="B21" s="8">
        <v>5.5100000000000003E-2</v>
      </c>
      <c r="C21">
        <v>3.56E-2</v>
      </c>
      <c r="D21">
        <v>1.2190464532380041E-2</v>
      </c>
      <c r="E21">
        <v>6.6600000000000001E-3</v>
      </c>
      <c r="F21">
        <v>5.8599999999999998E-3</v>
      </c>
      <c r="G21">
        <v>7.9399999999999991E-3</v>
      </c>
      <c r="H21">
        <v>0</v>
      </c>
      <c r="I21">
        <v>0</v>
      </c>
      <c r="J21">
        <v>1.74E-3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-5.2700000000000004E-3</v>
      </c>
      <c r="R21">
        <v>0</v>
      </c>
      <c r="S21">
        <v>4.3200000000000001E-3</v>
      </c>
      <c r="T21">
        <v>0</v>
      </c>
      <c r="U21">
        <v>0</v>
      </c>
      <c r="V21">
        <v>0</v>
      </c>
      <c r="W21">
        <v>0</v>
      </c>
      <c r="X21">
        <v>1.0489999999999999E-2</v>
      </c>
      <c r="Y21">
        <v>0</v>
      </c>
      <c r="Z21">
        <v>0</v>
      </c>
      <c r="AA21">
        <v>0</v>
      </c>
      <c r="AB21">
        <v>0</v>
      </c>
      <c r="AC21">
        <v>0</v>
      </c>
      <c r="AD21">
        <v>3.8300000000000001E-3</v>
      </c>
      <c r="AE21">
        <v>2.2100000000000002E-3</v>
      </c>
      <c r="AF21">
        <v>0</v>
      </c>
      <c r="AG21">
        <v>0</v>
      </c>
      <c r="AH21">
        <v>1.7350000000000001E-2</v>
      </c>
      <c r="AI21">
        <v>0</v>
      </c>
    </row>
    <row r="22" spans="1:35" x14ac:dyDescent="0.25">
      <c r="A22" s="1">
        <v>39721</v>
      </c>
      <c r="B22" s="8">
        <v>-8.2299999999999998E-2</v>
      </c>
      <c r="C22">
        <v>-4.7100000000000003E-2</v>
      </c>
      <c r="D22">
        <v>-9.0791433779084607E-2</v>
      </c>
      <c r="E22">
        <v>-3.2960000000000003E-2</v>
      </c>
      <c r="F22">
        <v>-9.9600000000000001E-3</v>
      </c>
      <c r="G22">
        <v>-1.252E-2</v>
      </c>
      <c r="H22">
        <v>0</v>
      </c>
      <c r="I22">
        <v>0</v>
      </c>
      <c r="J22">
        <v>-1.5740000000000001E-2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2.1329999999999998E-2</v>
      </c>
      <c r="R22">
        <v>0</v>
      </c>
      <c r="S22">
        <v>-4.8000000000000001E-4</v>
      </c>
      <c r="T22">
        <v>0</v>
      </c>
      <c r="U22">
        <v>0</v>
      </c>
      <c r="V22">
        <v>0</v>
      </c>
      <c r="W22">
        <v>0</v>
      </c>
      <c r="X22">
        <v>-1.5270000000000001E-2</v>
      </c>
      <c r="Y22">
        <v>0</v>
      </c>
      <c r="Z22">
        <v>0</v>
      </c>
      <c r="AA22">
        <v>0</v>
      </c>
      <c r="AB22">
        <v>0</v>
      </c>
      <c r="AC22">
        <v>0</v>
      </c>
      <c r="AD22">
        <v>-1.272E-2</v>
      </c>
      <c r="AE22">
        <v>-3.5000000000000001E-3</v>
      </c>
      <c r="AF22">
        <v>0</v>
      </c>
      <c r="AG22">
        <v>0</v>
      </c>
      <c r="AH22">
        <v>-4.4999999999999999E-4</v>
      </c>
      <c r="AI22">
        <v>0</v>
      </c>
    </row>
    <row r="23" spans="1:35" x14ac:dyDescent="0.25">
      <c r="A23" s="1">
        <v>39752</v>
      </c>
      <c r="B23" s="8">
        <v>-0.14729999999999999</v>
      </c>
      <c r="C23">
        <v>-0.15939999999999999</v>
      </c>
      <c r="D23">
        <v>-0.1694245237674199</v>
      </c>
      <c r="E23">
        <v>-5.3400000000000001E-3</v>
      </c>
      <c r="F23">
        <v>-2.1329999999999998E-2</v>
      </c>
      <c r="G23">
        <v>-8.6E-3</v>
      </c>
      <c r="H23">
        <v>0</v>
      </c>
      <c r="I23">
        <v>0</v>
      </c>
      <c r="J23">
        <v>-3.5200000000000002E-2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-1.086E-2</v>
      </c>
      <c r="R23">
        <v>0</v>
      </c>
      <c r="S23">
        <v>-6.11E-3</v>
      </c>
      <c r="T23">
        <v>0</v>
      </c>
      <c r="U23">
        <v>0</v>
      </c>
      <c r="V23">
        <v>0</v>
      </c>
      <c r="W23">
        <v>0</v>
      </c>
      <c r="X23">
        <v>-1.821E-2</v>
      </c>
      <c r="Y23">
        <v>0</v>
      </c>
      <c r="Z23">
        <v>0</v>
      </c>
      <c r="AA23">
        <v>0</v>
      </c>
      <c r="AB23">
        <v>0</v>
      </c>
      <c r="AC23">
        <v>0</v>
      </c>
      <c r="AD23">
        <v>-2.6900000000000001E-3</v>
      </c>
      <c r="AE23">
        <v>-1.1849999999999999E-2</v>
      </c>
      <c r="AF23">
        <v>0</v>
      </c>
      <c r="AG23">
        <v>0</v>
      </c>
      <c r="AH23">
        <v>-2.7140000000000001E-2</v>
      </c>
      <c r="AI23">
        <v>0</v>
      </c>
    </row>
    <row r="24" spans="1:35" x14ac:dyDescent="0.25">
      <c r="A24" s="1">
        <v>39780</v>
      </c>
      <c r="B24" s="8">
        <v>-8.09E-2</v>
      </c>
      <c r="C24">
        <v>-5.7700000000000001E-2</v>
      </c>
      <c r="D24">
        <v>-7.4849042580645175E-2</v>
      </c>
      <c r="E24">
        <v>-1.387E-2</v>
      </c>
      <c r="F24">
        <v>-2.5399999999999999E-2</v>
      </c>
      <c r="G24">
        <v>-1.7909999999999999E-2</v>
      </c>
      <c r="H24">
        <v>0</v>
      </c>
      <c r="I24">
        <v>0</v>
      </c>
      <c r="J24">
        <v>7.3000000000000001E-3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-2.325E-2</v>
      </c>
      <c r="R24">
        <v>0</v>
      </c>
      <c r="S24">
        <v>2.2799999999999999E-3</v>
      </c>
      <c r="T24">
        <v>0</v>
      </c>
      <c r="U24">
        <v>0</v>
      </c>
      <c r="V24">
        <v>0</v>
      </c>
      <c r="W24">
        <v>0</v>
      </c>
      <c r="X24">
        <v>-1.473E-2</v>
      </c>
      <c r="Y24">
        <v>0</v>
      </c>
      <c r="Z24">
        <v>0</v>
      </c>
      <c r="AA24">
        <v>0</v>
      </c>
      <c r="AB24">
        <v>0</v>
      </c>
      <c r="AC24">
        <v>0</v>
      </c>
      <c r="AD24">
        <v>6.6899999999999998E-3</v>
      </c>
      <c r="AE24">
        <v>-1.3440000000000001E-2</v>
      </c>
      <c r="AF24">
        <v>0</v>
      </c>
      <c r="AG24">
        <v>0</v>
      </c>
      <c r="AH24">
        <v>1.14E-2</v>
      </c>
      <c r="AI24">
        <v>0</v>
      </c>
    </row>
    <row r="25" spans="1:35" x14ac:dyDescent="0.25">
      <c r="A25" s="1">
        <v>39813</v>
      </c>
      <c r="B25" s="8">
        <v>6.0999999999999999E-2</v>
      </c>
      <c r="C25">
        <v>3.0599999999999999E-2</v>
      </c>
      <c r="D25">
        <v>7.8215768970539834E-3</v>
      </c>
      <c r="E25">
        <v>-7.9000000000000008E-3</v>
      </c>
      <c r="F25">
        <v>2.009E-2</v>
      </c>
      <c r="G25" s="12">
        <v>9.0000000000000006E-5</v>
      </c>
      <c r="H25">
        <v>0</v>
      </c>
      <c r="I25">
        <v>0</v>
      </c>
      <c r="J25">
        <v>8.9800000000000001E-3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-4.0999999999999999E-4</v>
      </c>
      <c r="R25">
        <v>0</v>
      </c>
      <c r="S25">
        <v>5.8599999999999998E-3</v>
      </c>
      <c r="T25">
        <v>0</v>
      </c>
      <c r="U25">
        <v>0</v>
      </c>
      <c r="V25">
        <v>0</v>
      </c>
      <c r="W25">
        <v>0</v>
      </c>
      <c r="X25">
        <v>8.0300000000000007E-3</v>
      </c>
      <c r="Y25">
        <v>0</v>
      </c>
      <c r="Z25">
        <v>0</v>
      </c>
      <c r="AA25">
        <v>0</v>
      </c>
      <c r="AB25">
        <v>0</v>
      </c>
      <c r="AC25">
        <v>0</v>
      </c>
      <c r="AD25">
        <v>-2.1000000000000001E-4</v>
      </c>
      <c r="AE25">
        <v>1.0489999999999999E-2</v>
      </c>
      <c r="AF25">
        <v>0</v>
      </c>
      <c r="AG25">
        <v>0</v>
      </c>
      <c r="AH25">
        <v>1.601E-2</v>
      </c>
      <c r="AI25">
        <v>0</v>
      </c>
    </row>
    <row r="26" spans="1:35" hidden="1" outlineLevel="1" x14ac:dyDescent="0.25">
      <c r="A26" s="1">
        <v>39843</v>
      </c>
      <c r="B26" s="8">
        <v>-8.6599999999999996E-2</v>
      </c>
      <c r="C26">
        <v>-0.1037</v>
      </c>
      <c r="D26">
        <v>-8.5657342928314395E-2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-4.5199999999999997E-3</v>
      </c>
      <c r="L26">
        <v>0</v>
      </c>
      <c r="M26">
        <v>-1.8400000000000001E-3</v>
      </c>
      <c r="N26">
        <v>0</v>
      </c>
      <c r="O26">
        <v>0</v>
      </c>
      <c r="P26">
        <v>-3.5799999999999998E-3</v>
      </c>
      <c r="Q26">
        <v>0</v>
      </c>
      <c r="R26">
        <v>-5.6299999999999996E-3</v>
      </c>
      <c r="S26">
        <v>0</v>
      </c>
      <c r="T26">
        <v>-6.5199999999999998E-3</v>
      </c>
      <c r="U26">
        <v>0</v>
      </c>
      <c r="V26">
        <v>0</v>
      </c>
      <c r="W26">
        <v>0</v>
      </c>
      <c r="X26">
        <v>0</v>
      </c>
      <c r="Y26">
        <v>0</v>
      </c>
      <c r="Z26">
        <v>-1.7670000000000002E-2</v>
      </c>
      <c r="AA26">
        <v>-1.119E-2</v>
      </c>
      <c r="AB26">
        <v>-8.4600000000000005E-3</v>
      </c>
      <c r="AC26">
        <v>0</v>
      </c>
      <c r="AD26">
        <v>0</v>
      </c>
      <c r="AE26">
        <v>0</v>
      </c>
      <c r="AF26">
        <v>0</v>
      </c>
      <c r="AG26">
        <v>-2.2970000000000001E-2</v>
      </c>
      <c r="AH26">
        <v>0</v>
      </c>
      <c r="AI26">
        <v>-4.1999999999999997E-3</v>
      </c>
    </row>
    <row r="27" spans="1:35" hidden="1" outlineLevel="1" x14ac:dyDescent="0.25">
      <c r="A27" s="1">
        <v>39871</v>
      </c>
      <c r="B27" s="8">
        <v>-9.9000000000000005E-2</v>
      </c>
      <c r="C27">
        <v>-0.1217</v>
      </c>
      <c r="D27">
        <v>-0.10993119757149228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-7.4700000000000001E-3</v>
      </c>
      <c r="L27">
        <v>0</v>
      </c>
      <c r="M27">
        <v>-1.2970000000000001E-2</v>
      </c>
      <c r="N27">
        <v>0</v>
      </c>
      <c r="O27">
        <v>0</v>
      </c>
      <c r="P27">
        <v>-1.2529999999999999E-2</v>
      </c>
      <c r="Q27">
        <v>0</v>
      </c>
      <c r="R27">
        <v>-4.3800000000000002E-3</v>
      </c>
      <c r="S27">
        <v>0</v>
      </c>
      <c r="T27">
        <v>-1.4540000000000001E-2</v>
      </c>
      <c r="U27">
        <v>0</v>
      </c>
      <c r="V27">
        <v>0</v>
      </c>
      <c r="W27">
        <v>0</v>
      </c>
      <c r="X27">
        <v>0</v>
      </c>
      <c r="Y27">
        <v>0</v>
      </c>
      <c r="Z27">
        <v>-1.337E-2</v>
      </c>
      <c r="AA27">
        <v>-1.1610000000000001E-2</v>
      </c>
      <c r="AB27">
        <v>-9.3900000000000008E-3</v>
      </c>
      <c r="AC27">
        <v>0</v>
      </c>
      <c r="AD27">
        <v>0</v>
      </c>
      <c r="AE27">
        <v>0</v>
      </c>
      <c r="AF27">
        <v>0</v>
      </c>
      <c r="AG27">
        <v>-2.0200000000000001E-3</v>
      </c>
      <c r="AH27">
        <v>0</v>
      </c>
      <c r="AI27">
        <v>-1.0699999999999999E-2</v>
      </c>
    </row>
    <row r="28" spans="1:35" hidden="1" outlineLevel="1" x14ac:dyDescent="0.25">
      <c r="A28" s="1">
        <v>39903</v>
      </c>
      <c r="B28" s="8">
        <v>5.3100000000000001E-2</v>
      </c>
      <c r="C28">
        <v>0.1244</v>
      </c>
      <c r="D28">
        <v>8.540446162249471E-2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-1.99E-3</v>
      </c>
      <c r="L28">
        <v>0</v>
      </c>
      <c r="M28">
        <v>2.6800000000000001E-3</v>
      </c>
      <c r="N28">
        <v>0</v>
      </c>
      <c r="O28">
        <v>0</v>
      </c>
      <c r="P28">
        <v>5.1999999999999998E-3</v>
      </c>
      <c r="Q28">
        <v>0</v>
      </c>
      <c r="R28">
        <v>8.5900000000000004E-3</v>
      </c>
      <c r="S28">
        <v>0</v>
      </c>
      <c r="T28">
        <v>9.3699999999999999E-3</v>
      </c>
      <c r="U28">
        <v>0</v>
      </c>
      <c r="V28">
        <v>0</v>
      </c>
      <c r="W28">
        <v>0</v>
      </c>
      <c r="X28">
        <v>0</v>
      </c>
      <c r="Y28">
        <v>0</v>
      </c>
      <c r="Z28">
        <v>1.064E-2</v>
      </c>
      <c r="AA28">
        <v>-2.2399999999999998E-3</v>
      </c>
      <c r="AB28">
        <v>1.0200000000000001E-3</v>
      </c>
      <c r="AC28">
        <v>0</v>
      </c>
      <c r="AD28">
        <v>0</v>
      </c>
      <c r="AE28">
        <v>0</v>
      </c>
      <c r="AF28">
        <v>0</v>
      </c>
      <c r="AG28">
        <v>1.9519999999999999E-2</v>
      </c>
      <c r="AH28">
        <v>0</v>
      </c>
      <c r="AI28">
        <v>2.9E-4</v>
      </c>
    </row>
    <row r="29" spans="1:35" hidden="1" outlineLevel="1" x14ac:dyDescent="0.25">
      <c r="A29" s="1">
        <v>39933</v>
      </c>
      <c r="B29" s="8">
        <v>1.54E-2</v>
      </c>
      <c r="C29">
        <v>0.1106</v>
      </c>
      <c r="D29">
        <v>9.3925079862164695E-2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7.7999999999999999E-4</v>
      </c>
      <c r="L29">
        <v>0</v>
      </c>
      <c r="M29">
        <v>-2.6800000000000001E-3</v>
      </c>
      <c r="N29">
        <v>0</v>
      </c>
      <c r="O29">
        <v>0</v>
      </c>
      <c r="P29">
        <v>-4.6000000000000001E-4</v>
      </c>
      <c r="Q29">
        <v>0</v>
      </c>
      <c r="R29">
        <v>-2.0500000000000002E-3</v>
      </c>
      <c r="S29">
        <v>0</v>
      </c>
      <c r="T29">
        <v>1.585E-2</v>
      </c>
      <c r="U29">
        <v>0</v>
      </c>
      <c r="V29">
        <v>0</v>
      </c>
      <c r="W29">
        <v>0</v>
      </c>
      <c r="X29">
        <v>0</v>
      </c>
      <c r="Y29">
        <v>0</v>
      </c>
      <c r="Z29">
        <v>-1.91E-3</v>
      </c>
      <c r="AA29">
        <v>5.9199999999999999E-3</v>
      </c>
      <c r="AB29">
        <v>-4.2500000000000003E-3</v>
      </c>
      <c r="AC29">
        <v>0</v>
      </c>
      <c r="AD29">
        <v>0</v>
      </c>
      <c r="AE29">
        <v>0</v>
      </c>
      <c r="AF29">
        <v>0</v>
      </c>
      <c r="AG29">
        <v>6.3400000000000001E-3</v>
      </c>
      <c r="AH29">
        <v>0</v>
      </c>
      <c r="AI29">
        <v>-2.0999999999999999E-3</v>
      </c>
    </row>
    <row r="30" spans="1:35" hidden="1" outlineLevel="1" x14ac:dyDescent="0.25">
      <c r="A30" s="1">
        <v>39962</v>
      </c>
      <c r="B30" s="8">
        <v>6.0699999999999997E-2</v>
      </c>
      <c r="C30">
        <v>6.4500000000000002E-2</v>
      </c>
      <c r="D30">
        <v>5.3081446255385467E-2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1.1780000000000001E-2</v>
      </c>
      <c r="L30">
        <v>0</v>
      </c>
      <c r="M30">
        <v>6.8599999999999998E-3</v>
      </c>
      <c r="N30">
        <v>0</v>
      </c>
      <c r="O30">
        <v>0</v>
      </c>
      <c r="P30">
        <v>6.28E-3</v>
      </c>
      <c r="Q30">
        <v>0</v>
      </c>
      <c r="R30">
        <v>1.4189999999999999E-2</v>
      </c>
      <c r="S30">
        <v>0</v>
      </c>
      <c r="T30" s="2">
        <v>2.0000000000000002E-5</v>
      </c>
      <c r="U30">
        <v>0</v>
      </c>
      <c r="V30">
        <v>0</v>
      </c>
      <c r="W30">
        <v>0</v>
      </c>
      <c r="X30">
        <v>0</v>
      </c>
      <c r="Y30">
        <v>0</v>
      </c>
      <c r="Z30">
        <v>1.49E-2</v>
      </c>
      <c r="AA30">
        <v>5.0600000000000003E-3</v>
      </c>
      <c r="AB30">
        <v>-1.6299999999999999E-3</v>
      </c>
      <c r="AC30">
        <v>0</v>
      </c>
      <c r="AD30">
        <v>0</v>
      </c>
      <c r="AE30">
        <v>0</v>
      </c>
      <c r="AF30">
        <v>0</v>
      </c>
      <c r="AG30">
        <v>-1.4300000000000001E-3</v>
      </c>
      <c r="AH30">
        <v>0</v>
      </c>
      <c r="AI30">
        <v>4.6499999999999996E-3</v>
      </c>
    </row>
    <row r="31" spans="1:35" hidden="1" outlineLevel="1" x14ac:dyDescent="0.25">
      <c r="A31" s="1">
        <v>39994</v>
      </c>
      <c r="B31" s="8">
        <v>2.4400000000000002E-2</v>
      </c>
      <c r="C31">
        <v>0</v>
      </c>
      <c r="D31">
        <v>1.9582653030303376E-4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7.26E-3</v>
      </c>
      <c r="L31">
        <v>0</v>
      </c>
      <c r="M31">
        <v>5.13E-3</v>
      </c>
      <c r="N31">
        <v>0</v>
      </c>
      <c r="O31">
        <v>0</v>
      </c>
      <c r="P31">
        <v>2.97E-3</v>
      </c>
      <c r="Q31">
        <v>0</v>
      </c>
      <c r="R31">
        <v>-1.5499999999999999E-3</v>
      </c>
      <c r="S31">
        <v>0</v>
      </c>
      <c r="T31">
        <v>5.2500000000000003E-3</v>
      </c>
      <c r="U31">
        <v>0</v>
      </c>
      <c r="V31">
        <v>0</v>
      </c>
      <c r="W31">
        <v>0</v>
      </c>
      <c r="X31">
        <v>0</v>
      </c>
      <c r="Y31">
        <v>0</v>
      </c>
      <c r="Z31">
        <v>-1.25E-3</v>
      </c>
      <c r="AA31">
        <v>-1.6199999999999999E-3</v>
      </c>
      <c r="AB31">
        <v>9.6799999999999994E-3</v>
      </c>
      <c r="AC31">
        <v>0</v>
      </c>
      <c r="AD31">
        <v>0</v>
      </c>
      <c r="AE31">
        <v>0</v>
      </c>
      <c r="AF31">
        <v>0</v>
      </c>
      <c r="AG31">
        <v>-2.2499999999999998E-3</v>
      </c>
      <c r="AH31">
        <v>0</v>
      </c>
      <c r="AI31">
        <v>8.0999999999999996E-4</v>
      </c>
    </row>
    <row r="32" spans="1:35" hidden="1" outlineLevel="1" x14ac:dyDescent="0.25">
      <c r="A32" s="1">
        <v>40025</v>
      </c>
      <c r="B32" s="8">
        <v>5.8599999999999999E-2</v>
      </c>
      <c r="C32">
        <v>8.1299999999999997E-2</v>
      </c>
      <c r="D32">
        <v>7.4141727016716619E-2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3.0300000000000001E-3</v>
      </c>
      <c r="L32">
        <v>0</v>
      </c>
      <c r="M32">
        <v>1.14E-3</v>
      </c>
      <c r="N32">
        <v>0</v>
      </c>
      <c r="O32">
        <v>0</v>
      </c>
      <c r="P32">
        <v>7.1999999999999998E-3</v>
      </c>
      <c r="Q32">
        <v>0</v>
      </c>
      <c r="R32">
        <v>3.8600000000000001E-3</v>
      </c>
      <c r="S32">
        <v>0</v>
      </c>
      <c r="T32">
        <v>1.7340000000000001E-2</v>
      </c>
      <c r="U32">
        <v>0</v>
      </c>
      <c r="V32">
        <v>0</v>
      </c>
      <c r="W32">
        <v>0</v>
      </c>
      <c r="X32">
        <v>0</v>
      </c>
      <c r="Y32">
        <v>0</v>
      </c>
      <c r="Z32">
        <v>6.1999999999999998E-3</v>
      </c>
      <c r="AA32">
        <v>9.4900000000000002E-3</v>
      </c>
      <c r="AB32">
        <v>2.1700000000000001E-3</v>
      </c>
      <c r="AC32">
        <v>0</v>
      </c>
      <c r="AD32">
        <v>0</v>
      </c>
      <c r="AE32">
        <v>0</v>
      </c>
      <c r="AF32">
        <v>0</v>
      </c>
      <c r="AG32">
        <v>7.4799999999999997E-3</v>
      </c>
      <c r="AH32">
        <v>0</v>
      </c>
      <c r="AI32">
        <v>6.8999999999999997E-4</v>
      </c>
    </row>
    <row r="33" spans="1:35" hidden="1" outlineLevel="1" x14ac:dyDescent="0.25">
      <c r="A33" s="1">
        <v>40056</v>
      </c>
      <c r="B33" s="8">
        <v>2.3E-3</v>
      </c>
      <c r="C33">
        <v>3.8800000000000001E-2</v>
      </c>
      <c r="D33">
        <v>3.3560189240494864E-2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3.6000000000000002E-4</v>
      </c>
      <c r="L33">
        <v>0</v>
      </c>
      <c r="M33">
        <v>-8.4000000000000003E-4</v>
      </c>
      <c r="N33">
        <v>0</v>
      </c>
      <c r="O33">
        <v>0</v>
      </c>
      <c r="P33" s="2">
        <v>6.9999999999999994E-5</v>
      </c>
      <c r="Q33">
        <v>0</v>
      </c>
      <c r="R33">
        <v>-2.15E-3</v>
      </c>
      <c r="S33">
        <v>0</v>
      </c>
      <c r="T33">
        <v>2.96E-3</v>
      </c>
      <c r="U33">
        <v>0</v>
      </c>
      <c r="V33">
        <v>0</v>
      </c>
      <c r="W33">
        <v>0</v>
      </c>
      <c r="X33">
        <v>0</v>
      </c>
      <c r="Y33">
        <v>0</v>
      </c>
      <c r="Z33">
        <v>5.8399999999999997E-3</v>
      </c>
      <c r="AA33">
        <v>-2.5200000000000001E-3</v>
      </c>
      <c r="AB33">
        <v>-6.4000000000000005E-4</v>
      </c>
      <c r="AC33">
        <v>0</v>
      </c>
      <c r="AD33">
        <v>0</v>
      </c>
      <c r="AE33">
        <v>0</v>
      </c>
      <c r="AF33">
        <v>0</v>
      </c>
      <c r="AG33">
        <v>3.4000000000000002E-4</v>
      </c>
      <c r="AH33">
        <v>0</v>
      </c>
      <c r="AI33">
        <v>-1.16E-3</v>
      </c>
    </row>
    <row r="34" spans="1:35" hidden="1" outlineLevel="1" x14ac:dyDescent="0.25">
      <c r="A34" s="1">
        <v>40086</v>
      </c>
      <c r="B34" s="8">
        <v>3.5799999999999998E-2</v>
      </c>
      <c r="C34">
        <v>5.3699999999999998E-2</v>
      </c>
      <c r="D34">
        <v>3.5723345788458705E-2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4.9199999999999999E-3</v>
      </c>
      <c r="L34">
        <v>0</v>
      </c>
      <c r="M34">
        <v>4.2900000000000004E-3</v>
      </c>
      <c r="N34">
        <v>0</v>
      </c>
      <c r="O34">
        <v>0</v>
      </c>
      <c r="P34">
        <v>7.3999999999999999E-4</v>
      </c>
      <c r="Q34">
        <v>0</v>
      </c>
      <c r="R34">
        <v>1.095E-2</v>
      </c>
      <c r="S34">
        <v>0</v>
      </c>
      <c r="T34">
        <v>2.3600000000000001E-3</v>
      </c>
      <c r="U34">
        <v>0</v>
      </c>
      <c r="V34">
        <v>0</v>
      </c>
      <c r="W34">
        <v>0</v>
      </c>
      <c r="X34">
        <v>0</v>
      </c>
      <c r="Y34">
        <v>0</v>
      </c>
      <c r="Z34">
        <v>-8.9999999999999998E-4</v>
      </c>
      <c r="AA34">
        <v>7.0400000000000003E-3</v>
      </c>
      <c r="AB34">
        <v>1.5100000000000001E-3</v>
      </c>
      <c r="AC34">
        <v>0</v>
      </c>
      <c r="AD34">
        <v>0</v>
      </c>
      <c r="AE34">
        <v>0</v>
      </c>
      <c r="AF34">
        <v>0</v>
      </c>
      <c r="AG34">
        <v>5.6299999999999996E-3</v>
      </c>
      <c r="AH34">
        <v>0</v>
      </c>
      <c r="AI34">
        <v>-7.7999999999999999E-4</v>
      </c>
    </row>
    <row r="35" spans="1:35" hidden="1" outlineLevel="1" x14ac:dyDescent="0.25">
      <c r="A35" s="1">
        <v>40116</v>
      </c>
      <c r="B35" s="8">
        <v>1.6000000000000001E-3</v>
      </c>
      <c r="C35">
        <v>-1.38E-2</v>
      </c>
      <c r="D35">
        <v>-1.9762000860415463E-2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3.6600000000000001E-3</v>
      </c>
      <c r="L35">
        <v>0</v>
      </c>
      <c r="M35">
        <v>-1.1900000000000001E-3</v>
      </c>
      <c r="N35">
        <v>0</v>
      </c>
      <c r="O35">
        <v>0</v>
      </c>
      <c r="P35">
        <v>-3.0200000000000001E-3</v>
      </c>
      <c r="Q35">
        <v>0</v>
      </c>
      <c r="R35">
        <v>-7.2999999999999996E-4</v>
      </c>
      <c r="S35">
        <v>0</v>
      </c>
      <c r="T35">
        <v>-3.1E-4</v>
      </c>
      <c r="U35">
        <v>0</v>
      </c>
      <c r="V35">
        <v>0</v>
      </c>
      <c r="W35">
        <v>0</v>
      </c>
      <c r="X35">
        <v>0</v>
      </c>
      <c r="Y35">
        <v>0</v>
      </c>
      <c r="Z35">
        <v>2.8999999999999998E-3</v>
      </c>
      <c r="AA35">
        <v>8.9999999999999998E-4</v>
      </c>
      <c r="AB35">
        <v>-1.2999999999999999E-4</v>
      </c>
      <c r="AC35">
        <v>0</v>
      </c>
      <c r="AD35">
        <v>0</v>
      </c>
      <c r="AE35">
        <v>0</v>
      </c>
      <c r="AF35">
        <v>0</v>
      </c>
      <c r="AG35">
        <v>-4.9399999999999999E-3</v>
      </c>
      <c r="AH35">
        <v>0</v>
      </c>
      <c r="AI35">
        <v>4.4600000000000004E-3</v>
      </c>
    </row>
    <row r="36" spans="1:35" hidden="1" outlineLevel="1" x14ac:dyDescent="0.25">
      <c r="A36" s="1">
        <v>40147</v>
      </c>
      <c r="B36" s="8">
        <v>6.7599999999999993E-2</v>
      </c>
      <c r="C36">
        <v>7.4200000000000002E-2</v>
      </c>
      <c r="D36">
        <v>5.736406198137356E-2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7.0699999999999999E-3</v>
      </c>
      <c r="L36">
        <v>0</v>
      </c>
      <c r="M36">
        <v>8.0000000000000002E-3</v>
      </c>
      <c r="N36">
        <v>0</v>
      </c>
      <c r="O36">
        <v>0</v>
      </c>
      <c r="P36">
        <v>7.2500000000000004E-3</v>
      </c>
      <c r="Q36">
        <v>0</v>
      </c>
      <c r="R36">
        <v>8.0700000000000008E-3</v>
      </c>
      <c r="S36">
        <v>0</v>
      </c>
      <c r="T36">
        <v>5.9500000000000004E-3</v>
      </c>
      <c r="U36">
        <v>0</v>
      </c>
      <c r="V36">
        <v>0</v>
      </c>
      <c r="W36">
        <v>0</v>
      </c>
      <c r="X36">
        <v>0</v>
      </c>
      <c r="Y36">
        <v>0</v>
      </c>
      <c r="Z36">
        <v>7.6299999999999996E-3</v>
      </c>
      <c r="AA36">
        <v>7.4999999999999997E-3</v>
      </c>
      <c r="AB36">
        <v>2.8900000000000002E-3</v>
      </c>
      <c r="AC36">
        <v>0</v>
      </c>
      <c r="AD36">
        <v>0</v>
      </c>
      <c r="AE36">
        <v>0</v>
      </c>
      <c r="AF36">
        <v>0</v>
      </c>
      <c r="AG36">
        <v>7.9000000000000008E-3</v>
      </c>
      <c r="AH36">
        <v>0</v>
      </c>
      <c r="AI36">
        <v>5.3299999999999997E-3</v>
      </c>
    </row>
    <row r="37" spans="1:35" hidden="1" outlineLevel="1" x14ac:dyDescent="0.25">
      <c r="A37" s="1">
        <v>40178</v>
      </c>
      <c r="B37" s="8">
        <v>5.3E-3</v>
      </c>
      <c r="C37">
        <v>3.1300000000000001E-2</v>
      </c>
      <c r="D37">
        <v>1.7770571188400419E-2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-2.4199999999999998E-3</v>
      </c>
      <c r="L37">
        <v>0</v>
      </c>
      <c r="M37">
        <v>6.9800000000000001E-3</v>
      </c>
      <c r="N37">
        <v>0</v>
      </c>
      <c r="O37">
        <v>0</v>
      </c>
      <c r="P37">
        <v>2.5000000000000001E-3</v>
      </c>
      <c r="Q37">
        <v>0</v>
      </c>
      <c r="R37">
        <v>-3.5E-4</v>
      </c>
      <c r="S37">
        <v>0</v>
      </c>
      <c r="T37">
        <v>6.7499999999999999E-3</v>
      </c>
      <c r="U37">
        <v>0</v>
      </c>
      <c r="V37">
        <v>0</v>
      </c>
      <c r="W37">
        <v>0</v>
      </c>
      <c r="X37">
        <v>0</v>
      </c>
      <c r="Y37">
        <v>0</v>
      </c>
      <c r="Z37">
        <v>1.1E-4</v>
      </c>
      <c r="AA37">
        <v>-2.7599999999999999E-3</v>
      </c>
      <c r="AB37">
        <v>3.8300000000000001E-3</v>
      </c>
      <c r="AC37">
        <v>0</v>
      </c>
      <c r="AD37">
        <v>0</v>
      </c>
      <c r="AE37">
        <v>0</v>
      </c>
      <c r="AF37">
        <v>0</v>
      </c>
      <c r="AG37">
        <v>-1.7000000000000001E-4</v>
      </c>
      <c r="AH37">
        <v>0</v>
      </c>
      <c r="AI37">
        <v>-9.1599999999999997E-3</v>
      </c>
    </row>
    <row r="38" spans="1:35" hidden="1" outlineLevel="1" x14ac:dyDescent="0.25">
      <c r="A38" s="1">
        <v>40207</v>
      </c>
      <c r="B38" s="8">
        <v>-4.4900000000000002E-2</v>
      </c>
      <c r="C38">
        <v>-3.8399999999999997E-2</v>
      </c>
      <c r="D38">
        <v>-3.6974246154947377E-2</v>
      </c>
      <c r="E38">
        <v>-5.4000000000000003E-3</v>
      </c>
      <c r="F38">
        <v>-2.5100000000000001E-3</v>
      </c>
      <c r="G38">
        <v>9.0500000000000008E-3</v>
      </c>
      <c r="H38">
        <v>3.8000000000000002E-4</v>
      </c>
      <c r="I38">
        <v>-5.1399999999999996E-3</v>
      </c>
      <c r="J38">
        <v>-6.4099999999999999E-3</v>
      </c>
      <c r="K38">
        <v>0</v>
      </c>
      <c r="L38">
        <v>-3.7000000000000002E-3</v>
      </c>
      <c r="M38">
        <v>0</v>
      </c>
      <c r="N38">
        <v>-6.11E-3</v>
      </c>
      <c r="O38">
        <v>4.64E-3</v>
      </c>
      <c r="P38">
        <v>0</v>
      </c>
      <c r="Q38">
        <v>-1.2899999999999999E-3</v>
      </c>
      <c r="R38">
        <v>0</v>
      </c>
      <c r="S38">
        <v>0</v>
      </c>
      <c r="T38" s="2">
        <v>-1.0000000000000001E-5</v>
      </c>
      <c r="U38">
        <v>-3.0200000000000001E-3</v>
      </c>
      <c r="V38">
        <v>0</v>
      </c>
      <c r="W38">
        <v>5.9000000000000003E-4</v>
      </c>
      <c r="X38">
        <v>-7.2199999999999999E-3</v>
      </c>
      <c r="Y38">
        <v>-2.2399999999999998E-3</v>
      </c>
      <c r="Z38">
        <v>2.2000000000000001E-4</v>
      </c>
      <c r="AA38">
        <v>0</v>
      </c>
      <c r="AB38">
        <v>0</v>
      </c>
      <c r="AC38">
        <v>-7.3299999999999997E-3</v>
      </c>
      <c r="AD38">
        <v>-2.14E-3</v>
      </c>
      <c r="AE38">
        <v>-2.2300000000000002E-3</v>
      </c>
      <c r="AF38">
        <v>2.5000000000000001E-3</v>
      </c>
      <c r="AG38">
        <v>0</v>
      </c>
      <c r="AH38">
        <v>-7.5799999999999999E-3</v>
      </c>
      <c r="AI38">
        <v>0</v>
      </c>
    </row>
    <row r="39" spans="1:35" hidden="1" outlineLevel="1" x14ac:dyDescent="0.25">
      <c r="A39" s="1">
        <v>40235</v>
      </c>
      <c r="B39" s="8">
        <v>4.0300000000000002E-2</v>
      </c>
      <c r="C39">
        <v>2.5899999999999999E-2</v>
      </c>
      <c r="D39">
        <v>2.8513688940531301E-2</v>
      </c>
      <c r="E39">
        <v>3.98E-3</v>
      </c>
      <c r="F39">
        <v>-2.0699999999999998E-3</v>
      </c>
      <c r="G39">
        <v>3.7200000000000002E-3</v>
      </c>
      <c r="H39">
        <v>4.5900000000000003E-3</v>
      </c>
      <c r="I39">
        <v>1.5100000000000001E-3</v>
      </c>
      <c r="J39">
        <v>7.77E-3</v>
      </c>
      <c r="K39">
        <v>0</v>
      </c>
      <c r="L39">
        <v>6.4000000000000005E-4</v>
      </c>
      <c r="M39">
        <v>0</v>
      </c>
      <c r="N39">
        <v>4.1700000000000001E-3</v>
      </c>
      <c r="O39">
        <v>3.6999999999999999E-4</v>
      </c>
      <c r="P39">
        <v>0</v>
      </c>
      <c r="Q39">
        <v>1.56E-3</v>
      </c>
      <c r="R39">
        <v>0</v>
      </c>
      <c r="S39">
        <v>2.3000000000000001E-4</v>
      </c>
      <c r="T39">
        <v>0</v>
      </c>
      <c r="U39">
        <v>8.8000000000000003E-4</v>
      </c>
      <c r="V39">
        <v>0</v>
      </c>
      <c r="W39">
        <v>3.98E-3</v>
      </c>
      <c r="X39">
        <v>2.16E-3</v>
      </c>
      <c r="Y39">
        <v>1.17E-3</v>
      </c>
      <c r="Z39">
        <v>-4.2999999999999999E-4</v>
      </c>
      <c r="AA39">
        <v>0</v>
      </c>
      <c r="AB39">
        <v>0</v>
      </c>
      <c r="AC39">
        <v>7.1799999999999998E-3</v>
      </c>
      <c r="AD39">
        <v>-5.8E-4</v>
      </c>
      <c r="AE39">
        <v>-8.0000000000000004E-4</v>
      </c>
      <c r="AF39">
        <v>7.9000000000000001E-4</v>
      </c>
      <c r="AG39" s="2">
        <v>2.0000000000000002E-5</v>
      </c>
      <c r="AH39">
        <v>-5.5999999999999995E-4</v>
      </c>
      <c r="AI39">
        <v>0</v>
      </c>
    </row>
    <row r="40" spans="1:35" hidden="1" outlineLevel="1" x14ac:dyDescent="0.25">
      <c r="A40" s="1">
        <v>40268</v>
      </c>
      <c r="B40" s="8">
        <v>8.3699999999999997E-2</v>
      </c>
      <c r="C40">
        <v>6.4399999999999999E-2</v>
      </c>
      <c r="D40">
        <v>5.8796426031891835E-2</v>
      </c>
      <c r="E40">
        <v>9.0399999999999994E-3</v>
      </c>
      <c r="F40">
        <v>5.4299999999999999E-3</v>
      </c>
      <c r="G40">
        <v>1.133E-2</v>
      </c>
      <c r="H40">
        <v>3.3899999999999998E-3</v>
      </c>
      <c r="I40" s="2">
        <v>-1.0000000000000001E-5</v>
      </c>
      <c r="J40">
        <v>8.5800000000000008E-3</v>
      </c>
      <c r="K40">
        <v>0</v>
      </c>
      <c r="L40">
        <v>4.0699999999999998E-3</v>
      </c>
      <c r="M40">
        <v>0</v>
      </c>
      <c r="N40">
        <v>8.5800000000000008E-3</v>
      </c>
      <c r="O40">
        <v>9.8499999999999994E-3</v>
      </c>
      <c r="P40">
        <v>0</v>
      </c>
      <c r="Q40">
        <v>1.32E-3</v>
      </c>
      <c r="R40">
        <v>0</v>
      </c>
      <c r="S40">
        <v>3.2000000000000003E-4</v>
      </c>
      <c r="T40" s="2">
        <v>1.0000000000000001E-5</v>
      </c>
      <c r="U40">
        <v>8.5999999999999998E-4</v>
      </c>
      <c r="V40">
        <v>0</v>
      </c>
      <c r="W40">
        <v>3.1199999999999999E-3</v>
      </c>
      <c r="X40">
        <v>3.0400000000000002E-3</v>
      </c>
      <c r="Y40">
        <v>3.81E-3</v>
      </c>
      <c r="Z40">
        <v>-2.0000000000000001E-4</v>
      </c>
      <c r="AA40">
        <v>0</v>
      </c>
      <c r="AB40">
        <v>0</v>
      </c>
      <c r="AC40">
        <v>5.3699999999999998E-3</v>
      </c>
      <c r="AD40">
        <v>1.1000000000000001E-3</v>
      </c>
      <c r="AE40">
        <v>1.5100000000000001E-3</v>
      </c>
      <c r="AF40">
        <v>-1.06E-3</v>
      </c>
      <c r="AG40" s="2">
        <v>6.9999999999999994E-5</v>
      </c>
      <c r="AH40">
        <v>4.1599999999999996E-3</v>
      </c>
      <c r="AI40">
        <v>0</v>
      </c>
    </row>
    <row r="41" spans="1:35" hidden="1" outlineLevel="1" x14ac:dyDescent="0.25">
      <c r="A41" s="1">
        <v>40298</v>
      </c>
      <c r="B41" s="8">
        <v>3.56E-2</v>
      </c>
      <c r="C41">
        <v>2.4E-2</v>
      </c>
      <c r="D41">
        <v>1.4759229883791081E-2</v>
      </c>
      <c r="E41">
        <v>6.7600000000000004E-3</v>
      </c>
      <c r="F41">
        <v>3.6000000000000002E-4</v>
      </c>
      <c r="G41">
        <v>-1.9000000000000001E-4</v>
      </c>
      <c r="H41" s="2">
        <v>-5.0000000000000002E-5</v>
      </c>
      <c r="I41">
        <v>-1.0059999999999999E-2</v>
      </c>
      <c r="J41">
        <v>7.6E-3</v>
      </c>
      <c r="K41">
        <v>0</v>
      </c>
      <c r="L41">
        <v>9.6500000000000006E-3</v>
      </c>
      <c r="M41">
        <v>0</v>
      </c>
      <c r="N41">
        <v>4.0400000000000002E-3</v>
      </c>
      <c r="O41">
        <v>2.6800000000000001E-3</v>
      </c>
      <c r="P41">
        <v>0</v>
      </c>
      <c r="Q41">
        <v>-9.5E-4</v>
      </c>
      <c r="R41">
        <v>0</v>
      </c>
      <c r="S41">
        <v>4.2000000000000002E-4</v>
      </c>
      <c r="T41" s="2">
        <v>2.0000000000000002E-5</v>
      </c>
      <c r="U41">
        <v>1.6999999999999999E-3</v>
      </c>
      <c r="V41">
        <v>0</v>
      </c>
      <c r="W41">
        <v>1.5299999999999999E-3</v>
      </c>
      <c r="X41">
        <v>-3.98E-3</v>
      </c>
      <c r="Y41">
        <v>2.9499999999999999E-3</v>
      </c>
      <c r="Z41">
        <v>-2.2000000000000001E-4</v>
      </c>
      <c r="AA41">
        <v>0</v>
      </c>
      <c r="AB41">
        <v>0</v>
      </c>
      <c r="AC41">
        <v>4.5799999999999999E-3</v>
      </c>
      <c r="AD41">
        <v>6.6E-4</v>
      </c>
      <c r="AE41">
        <v>1.9000000000000001E-4</v>
      </c>
      <c r="AF41">
        <v>-2.15E-3</v>
      </c>
      <c r="AG41" s="2">
        <v>5.0000000000000002E-5</v>
      </c>
      <c r="AH41">
        <v>1.001E-2</v>
      </c>
      <c r="AI41">
        <v>0</v>
      </c>
    </row>
    <row r="42" spans="1:35" hidden="1" outlineLevel="1" x14ac:dyDescent="0.25">
      <c r="A42" s="1">
        <v>40326</v>
      </c>
      <c r="B42" s="8">
        <v>-9.2999999999999999E-2</v>
      </c>
      <c r="C42">
        <v>-8.1799999999999998E-2</v>
      </c>
      <c r="D42">
        <v>-8.1975841910334468E-2</v>
      </c>
      <c r="E42">
        <v>-9.7999999999999997E-4</v>
      </c>
      <c r="F42">
        <v>-3.14E-3</v>
      </c>
      <c r="G42">
        <v>-8.1799999999999998E-3</v>
      </c>
      <c r="H42">
        <v>-5.5199999999999997E-3</v>
      </c>
      <c r="I42">
        <v>-5.6899999999999997E-3</v>
      </c>
      <c r="J42">
        <v>-9.0900000000000009E-3</v>
      </c>
      <c r="K42">
        <v>0</v>
      </c>
      <c r="L42">
        <v>-7.0600000000000003E-3</v>
      </c>
      <c r="M42">
        <v>0</v>
      </c>
      <c r="N42">
        <v>-6.7799999999999996E-3</v>
      </c>
      <c r="O42">
        <v>-9.8399999999999998E-3</v>
      </c>
      <c r="P42">
        <v>0</v>
      </c>
      <c r="Q42">
        <v>-1.41E-3</v>
      </c>
      <c r="R42">
        <v>0</v>
      </c>
      <c r="S42">
        <v>-3.2000000000000003E-4</v>
      </c>
      <c r="T42" s="2">
        <v>-3.0000000000000001E-5</v>
      </c>
      <c r="U42">
        <v>-6.0299999999999998E-3</v>
      </c>
      <c r="V42">
        <v>0</v>
      </c>
      <c r="W42">
        <v>-4.4900000000000001E-3</v>
      </c>
      <c r="X42">
        <v>-6.7099999999999998E-3</v>
      </c>
      <c r="Y42">
        <v>-4.1999999999999997E-3</v>
      </c>
      <c r="Z42">
        <v>-6.7000000000000002E-4</v>
      </c>
      <c r="AA42">
        <v>0</v>
      </c>
      <c r="AB42">
        <v>0</v>
      </c>
      <c r="AC42">
        <v>-2.8600000000000001E-3</v>
      </c>
      <c r="AD42">
        <v>-1.8E-3</v>
      </c>
      <c r="AE42">
        <v>-1.58E-3</v>
      </c>
      <c r="AF42">
        <v>-1.24E-3</v>
      </c>
      <c r="AG42" s="2">
        <v>-6.0000000000000002E-5</v>
      </c>
      <c r="AH42">
        <v>-5.3899999999999998E-3</v>
      </c>
      <c r="AI42">
        <v>0</v>
      </c>
    </row>
    <row r="43" spans="1:35" hidden="1" outlineLevel="1" x14ac:dyDescent="0.25">
      <c r="A43" s="1">
        <v>40359</v>
      </c>
      <c r="B43" s="8">
        <v>-7.1999999999999995E-2</v>
      </c>
      <c r="C43">
        <v>-5.4800000000000001E-2</v>
      </c>
      <c r="D43">
        <v>-5.3882442026415123E-2</v>
      </c>
      <c r="E43">
        <v>-1.2700000000000001E-3</v>
      </c>
      <c r="F43">
        <v>-4.7800000000000004E-3</v>
      </c>
      <c r="G43">
        <v>-1.6900000000000001E-3</v>
      </c>
      <c r="H43">
        <v>-4.0699999999999998E-3</v>
      </c>
      <c r="I43">
        <v>-9.0799999999999995E-3</v>
      </c>
      <c r="J43">
        <v>-9.6000000000000002E-4</v>
      </c>
      <c r="K43">
        <v>0</v>
      </c>
      <c r="L43">
        <v>-3.29E-3</v>
      </c>
      <c r="M43">
        <v>0</v>
      </c>
      <c r="N43">
        <v>-4.1900000000000001E-3</v>
      </c>
      <c r="O43">
        <v>-8.2699999999999996E-3</v>
      </c>
      <c r="P43">
        <v>0</v>
      </c>
      <c r="Q43">
        <v>-1.5E-3</v>
      </c>
      <c r="R43">
        <v>0</v>
      </c>
      <c r="S43">
        <v>-1.1E-4</v>
      </c>
      <c r="T43">
        <v>0</v>
      </c>
      <c r="U43">
        <v>-4.3299999999999996E-3</v>
      </c>
      <c r="V43">
        <v>0</v>
      </c>
      <c r="W43">
        <v>-4.4299999999999999E-3</v>
      </c>
      <c r="X43">
        <v>-9.1400000000000006E-3</v>
      </c>
      <c r="Y43">
        <v>-3.6600000000000001E-3</v>
      </c>
      <c r="Z43">
        <v>-5.5000000000000003E-4</v>
      </c>
      <c r="AA43">
        <v>0</v>
      </c>
      <c r="AB43">
        <v>0</v>
      </c>
      <c r="AC43">
        <v>-3.7799999999999999E-3</v>
      </c>
      <c r="AD43">
        <v>-1.2E-4</v>
      </c>
      <c r="AE43" s="2">
        <v>2.0000000000000002E-5</v>
      </c>
      <c r="AF43">
        <v>-5.6999999999999998E-4</v>
      </c>
      <c r="AG43" s="2">
        <v>-6.9999999999999994E-5</v>
      </c>
      <c r="AH43">
        <v>-6.1999999999999998E-3</v>
      </c>
      <c r="AI43">
        <v>0</v>
      </c>
    </row>
    <row r="44" spans="1:35" hidden="1" outlineLevel="1" x14ac:dyDescent="0.25">
      <c r="A44" s="1">
        <v>40389</v>
      </c>
      <c r="B44" s="8">
        <v>7.5899999999999995E-2</v>
      </c>
      <c r="C44">
        <v>6.7699999999999996E-2</v>
      </c>
      <c r="D44">
        <v>6.8777849911552336E-2</v>
      </c>
      <c r="E44">
        <v>1.3799999999999999E-3</v>
      </c>
      <c r="F44">
        <v>2.9199999999999999E-3</v>
      </c>
      <c r="G44">
        <v>6.4999999999999997E-3</v>
      </c>
      <c r="H44">
        <v>-1.08E-3</v>
      </c>
      <c r="I44">
        <v>6.3800000000000003E-3</v>
      </c>
      <c r="J44">
        <v>1.422E-2</v>
      </c>
      <c r="K44">
        <v>0</v>
      </c>
      <c r="L44">
        <v>8.3800000000000003E-3</v>
      </c>
      <c r="M44">
        <v>0</v>
      </c>
      <c r="N44">
        <v>5.0800000000000003E-3</v>
      </c>
      <c r="O44">
        <v>8.7100000000000007E-3</v>
      </c>
      <c r="P44">
        <v>0</v>
      </c>
      <c r="Q44">
        <v>2.0300000000000001E-3</v>
      </c>
      <c r="R44">
        <v>0</v>
      </c>
      <c r="S44">
        <v>4.2000000000000002E-4</v>
      </c>
      <c r="T44" s="2">
        <v>2.0000000000000002E-5</v>
      </c>
      <c r="U44">
        <v>4.8700000000000002E-3</v>
      </c>
      <c r="V44">
        <v>0</v>
      </c>
      <c r="W44">
        <v>3.4199999999999999E-3</v>
      </c>
      <c r="X44">
        <v>-4.1000000000000003E-3</v>
      </c>
      <c r="Y44">
        <v>6.0999999999999997E-4</v>
      </c>
      <c r="Z44">
        <v>4.4999999999999999E-4</v>
      </c>
      <c r="AA44">
        <v>0</v>
      </c>
      <c r="AB44">
        <v>0</v>
      </c>
      <c r="AC44">
        <v>7.8700000000000003E-3</v>
      </c>
      <c r="AD44">
        <v>2.3900000000000002E-3</v>
      </c>
      <c r="AE44">
        <v>1.64E-3</v>
      </c>
      <c r="AF44">
        <v>2.1800000000000001E-3</v>
      </c>
      <c r="AG44">
        <v>1E-4</v>
      </c>
      <c r="AH44">
        <v>1.5200000000000001E-3</v>
      </c>
      <c r="AI44">
        <v>0</v>
      </c>
    </row>
    <row r="45" spans="1:35" hidden="1" outlineLevel="1" x14ac:dyDescent="0.25">
      <c r="A45" s="1">
        <v>40421</v>
      </c>
      <c r="B45" s="8">
        <v>-5.5100000000000003E-2</v>
      </c>
      <c r="C45">
        <v>-3.3000000000000002E-2</v>
      </c>
      <c r="D45">
        <v>-4.7449184040287196E-2</v>
      </c>
      <c r="E45">
        <v>-3.3500000000000001E-3</v>
      </c>
      <c r="F45">
        <v>2.1800000000000001E-3</v>
      </c>
      <c r="G45">
        <v>-7.3200000000000001E-3</v>
      </c>
      <c r="H45">
        <v>-5.3E-3</v>
      </c>
      <c r="I45">
        <v>-5.9899999999999997E-3</v>
      </c>
      <c r="J45">
        <v>-5.5500000000000002E-3</v>
      </c>
      <c r="K45">
        <v>0</v>
      </c>
      <c r="L45">
        <v>-3.1099999999999999E-3</v>
      </c>
      <c r="M45">
        <v>0</v>
      </c>
      <c r="N45">
        <v>-2.49E-3</v>
      </c>
      <c r="O45">
        <v>-7.5199999999999998E-3</v>
      </c>
      <c r="P45">
        <v>0</v>
      </c>
      <c r="Q45">
        <v>-1.9499999999999999E-3</v>
      </c>
      <c r="R45">
        <v>0</v>
      </c>
      <c r="S45">
        <v>4.0000000000000002E-4</v>
      </c>
      <c r="T45" s="2">
        <v>-2.0000000000000002E-5</v>
      </c>
      <c r="U45">
        <v>-3.4299999999999999E-3</v>
      </c>
      <c r="V45">
        <v>0</v>
      </c>
      <c r="W45">
        <v>-3.0599999999999998E-3</v>
      </c>
      <c r="X45">
        <v>5.9999999999999995E-4</v>
      </c>
      <c r="Y45">
        <v>-3.7699999999999999E-3</v>
      </c>
      <c r="Z45">
        <v>6.2E-4</v>
      </c>
      <c r="AA45">
        <v>0</v>
      </c>
      <c r="AB45">
        <v>0</v>
      </c>
      <c r="AC45">
        <v>1.5399999999999999E-3</v>
      </c>
      <c r="AD45">
        <v>1.1199999999999999E-3</v>
      </c>
      <c r="AE45">
        <v>-1.3799999999999999E-3</v>
      </c>
      <c r="AF45">
        <v>1.2600000000000001E-3</v>
      </c>
      <c r="AG45" s="2">
        <v>-1.0000000000000001E-5</v>
      </c>
      <c r="AH45">
        <v>-8.5699999999999995E-3</v>
      </c>
      <c r="AI45">
        <v>0</v>
      </c>
    </row>
    <row r="46" spans="1:35" hidden="1" outlineLevel="1" x14ac:dyDescent="0.25">
      <c r="A46" s="1">
        <v>40451</v>
      </c>
      <c r="B46" s="8">
        <v>0.1086</v>
      </c>
      <c r="C46">
        <v>8.7099999999999997E-2</v>
      </c>
      <c r="D46">
        <v>8.7551102944020132E-2</v>
      </c>
      <c r="E46">
        <v>1.018E-2</v>
      </c>
      <c r="F46">
        <v>9.5499999999999995E-3</v>
      </c>
      <c r="G46">
        <v>6.7000000000000002E-3</v>
      </c>
      <c r="H46">
        <v>2.47E-3</v>
      </c>
      <c r="I46">
        <v>1.294E-2</v>
      </c>
      <c r="J46">
        <v>1.7510000000000001E-2</v>
      </c>
      <c r="K46">
        <v>0</v>
      </c>
      <c r="L46">
        <v>5.8700000000000002E-3</v>
      </c>
      <c r="M46">
        <v>0</v>
      </c>
      <c r="N46">
        <v>1.2600000000000001E-3</v>
      </c>
      <c r="O46">
        <v>9.6500000000000006E-3</v>
      </c>
      <c r="P46">
        <v>0</v>
      </c>
      <c r="Q46">
        <v>9.3999999999999997E-4</v>
      </c>
      <c r="R46">
        <v>0</v>
      </c>
      <c r="S46">
        <v>1.3999999999999999E-4</v>
      </c>
      <c r="T46" s="2">
        <v>3.0000000000000001E-5</v>
      </c>
      <c r="U46">
        <v>1.75E-3</v>
      </c>
      <c r="V46">
        <v>0</v>
      </c>
      <c r="W46">
        <v>5.3299999999999997E-3</v>
      </c>
      <c r="X46">
        <v>1.0359999999999999E-2</v>
      </c>
      <c r="Y46">
        <v>4.64E-3</v>
      </c>
      <c r="Z46">
        <v>6.8000000000000005E-4</v>
      </c>
      <c r="AA46">
        <v>0</v>
      </c>
      <c r="AB46">
        <v>0</v>
      </c>
      <c r="AC46">
        <v>1.9E-3</v>
      </c>
      <c r="AD46">
        <v>1.5499999999999999E-3</v>
      </c>
      <c r="AE46">
        <v>1.57E-3</v>
      </c>
      <c r="AF46">
        <v>3.3500000000000001E-3</v>
      </c>
      <c r="AG46" s="2">
        <v>3.0000000000000001E-5</v>
      </c>
      <c r="AH46">
        <v>2.1000000000000001E-4</v>
      </c>
      <c r="AI46">
        <v>0</v>
      </c>
    </row>
    <row r="47" spans="1:35" hidden="1" outlineLevel="1" x14ac:dyDescent="0.25">
      <c r="A47" s="1">
        <v>40480</v>
      </c>
      <c r="B47" s="8">
        <v>2.52E-2</v>
      </c>
      <c r="C47">
        <v>2.52E-2</v>
      </c>
      <c r="D47">
        <v>3.6855994397076541E-2</v>
      </c>
      <c r="E47">
        <v>3.7000000000000002E-3</v>
      </c>
      <c r="F47">
        <v>1.92E-3</v>
      </c>
      <c r="G47">
        <v>4.6600000000000001E-3</v>
      </c>
      <c r="H47">
        <v>-5.94E-3</v>
      </c>
      <c r="I47">
        <v>2.7999999999999998E-4</v>
      </c>
      <c r="J47">
        <v>3.8999999999999999E-4</v>
      </c>
      <c r="K47">
        <v>0</v>
      </c>
      <c r="L47">
        <v>2.6900000000000001E-3</v>
      </c>
      <c r="M47">
        <v>0</v>
      </c>
      <c r="N47">
        <v>6.6699999999999997E-3</v>
      </c>
      <c r="O47">
        <v>-1.0499999999999999E-3</v>
      </c>
      <c r="P47">
        <v>0</v>
      </c>
      <c r="Q47">
        <v>-2.0000000000000001E-4</v>
      </c>
      <c r="R47">
        <v>0</v>
      </c>
      <c r="S47">
        <v>3.2000000000000003E-4</v>
      </c>
      <c r="T47" s="2">
        <v>-1.0000000000000001E-5</v>
      </c>
      <c r="U47">
        <v>3.5500000000000002E-3</v>
      </c>
      <c r="V47">
        <v>0</v>
      </c>
      <c r="W47">
        <v>1.89E-3</v>
      </c>
      <c r="X47">
        <v>1.1900000000000001E-3</v>
      </c>
      <c r="Y47">
        <v>2.5999999999999998E-4</v>
      </c>
      <c r="Z47">
        <v>1.2E-4</v>
      </c>
      <c r="AA47">
        <v>0</v>
      </c>
      <c r="AB47">
        <v>0</v>
      </c>
      <c r="AC47">
        <v>2.65E-3</v>
      </c>
      <c r="AD47">
        <v>3.2000000000000003E-4</v>
      </c>
      <c r="AE47">
        <v>1.5100000000000001E-3</v>
      </c>
      <c r="AF47">
        <v>8.0999999999999996E-4</v>
      </c>
      <c r="AG47" s="2">
        <v>1.0000000000000001E-5</v>
      </c>
      <c r="AH47">
        <v>-5.1999999999999995E-4</v>
      </c>
      <c r="AI47">
        <v>0</v>
      </c>
    </row>
    <row r="48" spans="1:35" hidden="1" outlineLevel="1" x14ac:dyDescent="0.25">
      <c r="A48" s="1">
        <v>40512</v>
      </c>
      <c r="B48" s="8">
        <v>1.6199999999999999E-2</v>
      </c>
      <c r="C48">
        <v>1.12E-2</v>
      </c>
      <c r="D48">
        <v>-2.2902497989432113E-3</v>
      </c>
      <c r="E48">
        <v>2.0600000000000002E-3</v>
      </c>
      <c r="F48">
        <v>2.2799999999999999E-3</v>
      </c>
      <c r="G48">
        <v>-6.9100000000000003E-3</v>
      </c>
      <c r="H48">
        <v>-2.0500000000000002E-3</v>
      </c>
      <c r="I48">
        <v>-3.0300000000000001E-3</v>
      </c>
      <c r="J48">
        <v>6.4400000000000004E-3</v>
      </c>
      <c r="K48">
        <v>0</v>
      </c>
      <c r="L48">
        <v>8.0999999999999996E-4</v>
      </c>
      <c r="M48">
        <v>0</v>
      </c>
      <c r="N48">
        <v>7.7999999999999999E-4</v>
      </c>
      <c r="O48">
        <v>-8.8000000000000003E-4</v>
      </c>
      <c r="P48">
        <v>0</v>
      </c>
      <c r="Q48">
        <v>-1.2E-4</v>
      </c>
      <c r="R48">
        <v>0</v>
      </c>
      <c r="S48">
        <v>1.1E-4</v>
      </c>
      <c r="T48">
        <v>0</v>
      </c>
      <c r="U48">
        <v>-1.8699999999999999E-3</v>
      </c>
      <c r="V48">
        <v>0</v>
      </c>
      <c r="W48">
        <v>-7.5000000000000002E-4</v>
      </c>
      <c r="X48">
        <v>5.4200000000000003E-3</v>
      </c>
      <c r="Y48">
        <v>7.3499999999999998E-3</v>
      </c>
      <c r="Z48">
        <v>-4.6000000000000001E-4</v>
      </c>
      <c r="AA48">
        <v>0</v>
      </c>
      <c r="AB48">
        <v>0</v>
      </c>
      <c r="AC48">
        <v>2.5600000000000002E-3</v>
      </c>
      <c r="AD48">
        <v>-6.8000000000000005E-4</v>
      </c>
      <c r="AE48">
        <v>-2.9E-4</v>
      </c>
      <c r="AF48">
        <v>3.8999999999999999E-4</v>
      </c>
      <c r="AG48" s="2">
        <v>3.0000000000000001E-5</v>
      </c>
      <c r="AH48">
        <v>4.9800000000000001E-3</v>
      </c>
      <c r="AI48">
        <v>0</v>
      </c>
    </row>
    <row r="49" spans="1:35" hidden="1" outlineLevel="1" x14ac:dyDescent="0.25">
      <c r="A49" s="1">
        <v>40543</v>
      </c>
      <c r="B49" s="8">
        <v>9.1200000000000003E-2</v>
      </c>
      <c r="C49">
        <v>6.93E-2</v>
      </c>
      <c r="D49">
        <v>6.5300040489854716E-2</v>
      </c>
      <c r="E49">
        <v>2.2300000000000002E-3</v>
      </c>
      <c r="F49">
        <v>9.7000000000000005E-4</v>
      </c>
      <c r="G49">
        <v>1.7700000000000001E-3</v>
      </c>
      <c r="H49">
        <v>1.0319999999999999E-2</v>
      </c>
      <c r="I49">
        <v>1.1379999999999999E-2</v>
      </c>
      <c r="J49">
        <v>9.0399999999999994E-3</v>
      </c>
      <c r="K49">
        <v>0</v>
      </c>
      <c r="L49">
        <v>8.1200000000000005E-3</v>
      </c>
      <c r="M49">
        <v>0</v>
      </c>
      <c r="N49">
        <v>2.8E-3</v>
      </c>
      <c r="O49">
        <v>1.214E-2</v>
      </c>
      <c r="P49">
        <v>0</v>
      </c>
      <c r="Q49">
        <v>2.6800000000000001E-3</v>
      </c>
      <c r="R49">
        <v>0</v>
      </c>
      <c r="S49">
        <v>-1.3999999999999999E-4</v>
      </c>
      <c r="T49" s="2">
        <v>1.0000000000000001E-5</v>
      </c>
      <c r="U49">
        <v>4.1999999999999997E-3</v>
      </c>
      <c r="V49">
        <v>0</v>
      </c>
      <c r="W49">
        <v>2.2300000000000002E-3</v>
      </c>
      <c r="X49">
        <v>5.4000000000000003E-3</v>
      </c>
      <c r="Y49">
        <v>7.0899999999999999E-3</v>
      </c>
      <c r="Z49">
        <v>6.4000000000000005E-4</v>
      </c>
      <c r="AA49">
        <v>0</v>
      </c>
      <c r="AB49">
        <v>0</v>
      </c>
      <c r="AC49">
        <v>7.5000000000000002E-4</v>
      </c>
      <c r="AD49">
        <v>1.5200000000000001E-3</v>
      </c>
      <c r="AE49">
        <v>3.31E-3</v>
      </c>
      <c r="AF49">
        <v>-2.4000000000000001E-4</v>
      </c>
      <c r="AG49" s="2">
        <v>2.0000000000000002E-5</v>
      </c>
      <c r="AH49">
        <v>4.9800000000000001E-3</v>
      </c>
      <c r="AI49">
        <v>0</v>
      </c>
    </row>
    <row r="50" spans="1:35" hidden="1" outlineLevel="1" x14ac:dyDescent="0.25">
      <c r="A50" s="1">
        <v>40574</v>
      </c>
      <c r="B50" s="8">
        <v>5.0799999999999998E-2</v>
      </c>
      <c r="C50">
        <v>3.4700000000000002E-2</v>
      </c>
      <c r="D50">
        <v>2.2645573980086819E-2</v>
      </c>
      <c r="E50">
        <v>2.8500000000000001E-3</v>
      </c>
      <c r="F50">
        <v>-1.74E-3</v>
      </c>
      <c r="G50">
        <v>4.4200000000000003E-3</v>
      </c>
      <c r="H50">
        <v>9.6000000000000002E-4</v>
      </c>
      <c r="I50">
        <v>2.15E-3</v>
      </c>
      <c r="J50">
        <v>2.8800000000000002E-3</v>
      </c>
      <c r="K50">
        <v>0</v>
      </c>
      <c r="L50">
        <v>3.7699999999999999E-3</v>
      </c>
      <c r="M50">
        <v>1E-4</v>
      </c>
      <c r="N50">
        <v>2.7499999999999998E-3</v>
      </c>
      <c r="O50">
        <v>6.7999999999999996E-3</v>
      </c>
      <c r="P50">
        <v>-6.4000000000000005E-4</v>
      </c>
      <c r="Q50">
        <v>1.8600000000000001E-3</v>
      </c>
      <c r="R50">
        <v>-7.9000000000000001E-4</v>
      </c>
      <c r="S50">
        <v>0</v>
      </c>
      <c r="T50">
        <v>2.5999999999999998E-4</v>
      </c>
      <c r="U50">
        <v>-3.8999999999999999E-4</v>
      </c>
      <c r="V50">
        <v>-1E-4</v>
      </c>
      <c r="W50">
        <v>3.98E-3</v>
      </c>
      <c r="X50">
        <v>1.8700000000000001E-2</v>
      </c>
      <c r="Y50">
        <v>-6.4999999999999997E-4</v>
      </c>
      <c r="Z50">
        <v>2.9E-4</v>
      </c>
      <c r="AA50">
        <v>0</v>
      </c>
      <c r="AB50">
        <v>0</v>
      </c>
      <c r="AC50">
        <v>9.7000000000000005E-4</v>
      </c>
      <c r="AD50">
        <v>-1.1299999999999999E-3</v>
      </c>
      <c r="AE50">
        <v>1.57E-3</v>
      </c>
      <c r="AF50">
        <v>3.4099999999999998E-3</v>
      </c>
      <c r="AG50" s="2">
        <v>-6.9999999999999994E-5</v>
      </c>
      <c r="AH50">
        <v>-1.49E-3</v>
      </c>
      <c r="AI50" s="2">
        <v>2.0000000000000002E-5</v>
      </c>
    </row>
    <row r="51" spans="1:35" hidden="1" outlineLevel="1" x14ac:dyDescent="0.25">
      <c r="A51" s="1">
        <v>40602</v>
      </c>
      <c r="B51" s="8">
        <v>4.1300000000000003E-2</v>
      </c>
      <c r="C51">
        <v>3.73E-2</v>
      </c>
      <c r="D51">
        <v>3.1956564052952219E-2</v>
      </c>
      <c r="E51">
        <v>2.2499999999999998E-3</v>
      </c>
      <c r="F51">
        <v>6.4999999999999997E-4</v>
      </c>
      <c r="G51">
        <v>2.8999999999999998E-3</v>
      </c>
      <c r="H51">
        <v>1.3500000000000001E-3</v>
      </c>
      <c r="I51">
        <v>1.66E-3</v>
      </c>
      <c r="J51">
        <v>4.3400000000000001E-3</v>
      </c>
      <c r="K51">
        <v>0</v>
      </c>
      <c r="L51">
        <v>7.5599999999999999E-3</v>
      </c>
      <c r="M51">
        <v>2.5000000000000001E-4</v>
      </c>
      <c r="N51">
        <v>9.5099999999999994E-3</v>
      </c>
      <c r="O51">
        <v>3.0699999999999998E-3</v>
      </c>
      <c r="P51">
        <v>6.9999999999999999E-4</v>
      </c>
      <c r="Q51">
        <v>1.1999999999999999E-3</v>
      </c>
      <c r="R51">
        <v>2.9999999999999997E-4</v>
      </c>
      <c r="S51">
        <v>0</v>
      </c>
      <c r="T51">
        <v>7.6999999999999996E-4</v>
      </c>
      <c r="U51">
        <v>-2.0699999999999998E-3</v>
      </c>
      <c r="V51">
        <v>2.2000000000000001E-4</v>
      </c>
      <c r="W51">
        <v>-1.7700000000000001E-3</v>
      </c>
      <c r="X51">
        <v>-1.7799999999999999E-3</v>
      </c>
      <c r="Y51">
        <v>2.4599999999999999E-3</v>
      </c>
      <c r="Z51">
        <v>4.8000000000000001E-4</v>
      </c>
      <c r="AA51">
        <v>0</v>
      </c>
      <c r="AB51">
        <v>0</v>
      </c>
      <c r="AC51">
        <v>4.5399999999999998E-3</v>
      </c>
      <c r="AD51">
        <v>7.2999999999999996E-4</v>
      </c>
      <c r="AE51">
        <v>-2.2200000000000002E-3</v>
      </c>
      <c r="AF51">
        <v>9.3000000000000005E-4</v>
      </c>
      <c r="AG51">
        <v>2.0000000000000001E-4</v>
      </c>
      <c r="AH51">
        <v>3.0500000000000002E-3</v>
      </c>
      <c r="AI51" s="2">
        <v>1.0000000000000001E-5</v>
      </c>
    </row>
    <row r="52" spans="1:35" hidden="1" outlineLevel="1" x14ac:dyDescent="0.25">
      <c r="A52" s="1">
        <v>40633</v>
      </c>
      <c r="B52" s="8">
        <v>0</v>
      </c>
      <c r="C52">
        <v>-3.5999999999999999E-3</v>
      </c>
      <c r="D52">
        <v>-1.0473132038185673E-3</v>
      </c>
      <c r="E52">
        <v>-7.2999999999999996E-4</v>
      </c>
      <c r="F52">
        <v>1.1999999999999999E-3</v>
      </c>
      <c r="G52">
        <v>1.82E-3</v>
      </c>
      <c r="H52">
        <v>-2.1900000000000001E-3</v>
      </c>
      <c r="I52">
        <v>-4.2999999999999999E-4</v>
      </c>
      <c r="J52">
        <v>5.8199999999999997E-3</v>
      </c>
      <c r="K52">
        <v>0</v>
      </c>
      <c r="L52">
        <v>1.9499999999999999E-3</v>
      </c>
      <c r="M52" s="2">
        <v>-5.0000000000000002E-5</v>
      </c>
      <c r="N52">
        <v>-1.1299999999999999E-3</v>
      </c>
      <c r="O52">
        <v>-2.7899999999999999E-3</v>
      </c>
      <c r="P52">
        <v>-6.7000000000000002E-4</v>
      </c>
      <c r="Q52">
        <v>-3.8999999999999999E-4</v>
      </c>
      <c r="R52">
        <v>8.0000000000000004E-4</v>
      </c>
      <c r="S52">
        <v>0</v>
      </c>
      <c r="T52">
        <v>1.9000000000000001E-4</v>
      </c>
      <c r="U52">
        <v>-2.6099999999999999E-3</v>
      </c>
      <c r="V52">
        <v>-4.0999999999999999E-4</v>
      </c>
      <c r="W52">
        <v>2.5200000000000001E-3</v>
      </c>
      <c r="X52">
        <v>-6.2599999999999999E-3</v>
      </c>
      <c r="Y52">
        <v>1.32E-3</v>
      </c>
      <c r="Z52">
        <v>3.8999999999999999E-4</v>
      </c>
      <c r="AA52">
        <v>0</v>
      </c>
      <c r="AB52">
        <v>0</v>
      </c>
      <c r="AC52">
        <v>-1.2899999999999999E-3</v>
      </c>
      <c r="AD52">
        <v>1.83E-3</v>
      </c>
      <c r="AE52">
        <v>-3.3E-4</v>
      </c>
      <c r="AF52">
        <v>1.6100000000000001E-3</v>
      </c>
      <c r="AG52" s="2">
        <v>4.0000000000000003E-5</v>
      </c>
      <c r="AH52">
        <v>-2.0000000000000001E-4</v>
      </c>
      <c r="AI52">
        <v>0</v>
      </c>
    </row>
    <row r="53" spans="1:35" hidden="1" outlineLevel="1" x14ac:dyDescent="0.25">
      <c r="A53" s="1">
        <v>40662</v>
      </c>
      <c r="B53" s="8">
        <v>3.0200000000000001E-2</v>
      </c>
      <c r="C53">
        <v>3.7699999999999997E-2</v>
      </c>
      <c r="D53">
        <v>2.8495380443795071E-2</v>
      </c>
      <c r="E53">
        <v>2.5999999999999998E-4</v>
      </c>
      <c r="F53">
        <v>2.64E-3</v>
      </c>
      <c r="G53">
        <v>5.4099999999999999E-3</v>
      </c>
      <c r="H53">
        <v>-2.5999999999999999E-3</v>
      </c>
      <c r="I53">
        <v>-1.39E-3</v>
      </c>
      <c r="J53">
        <v>2.8800000000000002E-3</v>
      </c>
      <c r="K53">
        <v>0</v>
      </c>
      <c r="L53">
        <v>-9.3000000000000005E-4</v>
      </c>
      <c r="M53">
        <v>2.0000000000000001E-4</v>
      </c>
      <c r="N53" s="2">
        <v>2.0000000000000002E-5</v>
      </c>
      <c r="O53">
        <v>1.34E-3</v>
      </c>
      <c r="P53">
        <v>2.0600000000000002E-3</v>
      </c>
      <c r="Q53">
        <v>-1.4999999999999999E-4</v>
      </c>
      <c r="R53">
        <v>2.9999999999999997E-4</v>
      </c>
      <c r="S53">
        <v>0</v>
      </c>
      <c r="T53">
        <v>5.5999999999999995E-4</v>
      </c>
      <c r="U53">
        <v>1.2199999999999999E-3</v>
      </c>
      <c r="V53">
        <v>2.4000000000000001E-4</v>
      </c>
      <c r="W53">
        <v>8.1999999999999998E-4</v>
      </c>
      <c r="X53">
        <v>2.82E-3</v>
      </c>
      <c r="Y53">
        <v>4.2199999999999998E-3</v>
      </c>
      <c r="Z53">
        <v>2.3000000000000001E-4</v>
      </c>
      <c r="AA53">
        <v>0</v>
      </c>
      <c r="AB53">
        <v>0</v>
      </c>
      <c r="AC53">
        <v>3.3800000000000002E-3</v>
      </c>
      <c r="AD53">
        <v>7.2000000000000005E-4</v>
      </c>
      <c r="AE53">
        <v>4.0299999999999997E-3</v>
      </c>
      <c r="AF53">
        <v>2.2200000000000002E-3</v>
      </c>
      <c r="AG53" s="2">
        <v>5.0000000000000002E-5</v>
      </c>
      <c r="AH53">
        <v>-3.2000000000000003E-4</v>
      </c>
      <c r="AI53" s="2">
        <v>1.0000000000000001E-5</v>
      </c>
    </row>
    <row r="54" spans="1:35" hidden="1" outlineLevel="1" x14ac:dyDescent="0.25">
      <c r="A54" s="1">
        <v>40694</v>
      </c>
      <c r="B54" s="8">
        <v>-2.0500000000000001E-2</v>
      </c>
      <c r="C54">
        <v>-6.1999999999999998E-3</v>
      </c>
      <c r="D54">
        <v>-1.3500952766930641E-2</v>
      </c>
      <c r="E54">
        <v>-3.6000000000000002E-4</v>
      </c>
      <c r="F54">
        <v>1.3999999999999999E-4</v>
      </c>
      <c r="G54">
        <v>-1.14E-3</v>
      </c>
      <c r="H54">
        <v>-1.42E-3</v>
      </c>
      <c r="I54">
        <v>2.7100000000000002E-3</v>
      </c>
      <c r="J54">
        <v>-5.9300000000000004E-3</v>
      </c>
      <c r="K54">
        <v>0</v>
      </c>
      <c r="L54">
        <v>-4.8500000000000001E-3</v>
      </c>
      <c r="M54">
        <v>2.0000000000000001E-4</v>
      </c>
      <c r="N54">
        <v>-2.5899999999999999E-3</v>
      </c>
      <c r="O54">
        <v>-2.66E-3</v>
      </c>
      <c r="P54">
        <v>6.2E-4</v>
      </c>
      <c r="Q54">
        <v>-1.6100000000000001E-3</v>
      </c>
      <c r="R54">
        <v>-1.7000000000000001E-4</v>
      </c>
      <c r="S54">
        <v>0</v>
      </c>
      <c r="T54">
        <v>-3.3E-4</v>
      </c>
      <c r="U54">
        <v>-1.6900000000000001E-3</v>
      </c>
      <c r="V54" s="2">
        <v>6.9999999999999994E-5</v>
      </c>
      <c r="W54">
        <v>1.9599999999999999E-3</v>
      </c>
      <c r="X54" s="2">
        <v>6.9999999999999994E-5</v>
      </c>
      <c r="Y54">
        <v>-2.5400000000000002E-3</v>
      </c>
      <c r="Z54">
        <v>2.3000000000000001E-4</v>
      </c>
      <c r="AA54">
        <v>0</v>
      </c>
      <c r="AB54">
        <v>0</v>
      </c>
      <c r="AC54">
        <v>1.8500000000000001E-3</v>
      </c>
      <c r="AD54">
        <v>3.3E-4</v>
      </c>
      <c r="AE54">
        <v>4.4000000000000002E-4</v>
      </c>
      <c r="AF54">
        <v>-1.3999999999999999E-4</v>
      </c>
      <c r="AG54" s="2">
        <v>-6.9999999999999994E-5</v>
      </c>
      <c r="AH54">
        <v>-3.62E-3</v>
      </c>
      <c r="AI54" s="2">
        <v>-1.0000000000000001E-5</v>
      </c>
    </row>
    <row r="55" spans="1:35" hidden="1" outlineLevel="1" x14ac:dyDescent="0.25">
      <c r="A55" s="1">
        <v>40724</v>
      </c>
      <c r="B55" s="8">
        <v>-2.0899999999999998E-2</v>
      </c>
      <c r="C55">
        <v>-1.5100000000000001E-2</v>
      </c>
      <c r="D55">
        <v>-1.825746126569705E-2</v>
      </c>
      <c r="E55">
        <v>-1.92E-3</v>
      </c>
      <c r="F55">
        <v>1.1999999999999999E-3</v>
      </c>
      <c r="G55">
        <v>-3.5899999999999999E-3</v>
      </c>
      <c r="H55">
        <v>-2.1900000000000001E-3</v>
      </c>
      <c r="I55">
        <v>-3.32E-3</v>
      </c>
      <c r="J55">
        <v>4.4000000000000002E-4</v>
      </c>
      <c r="K55">
        <v>0</v>
      </c>
      <c r="L55">
        <v>2.0600000000000002E-3</v>
      </c>
      <c r="M55" s="2">
        <v>6.0000000000000002E-5</v>
      </c>
      <c r="N55">
        <v>-4.7200000000000002E-3</v>
      </c>
      <c r="O55">
        <v>-2.16E-3</v>
      </c>
      <c r="P55">
        <v>-2.2000000000000001E-4</v>
      </c>
      <c r="Q55">
        <v>-1.6299999999999999E-3</v>
      </c>
      <c r="R55">
        <v>2.5000000000000001E-4</v>
      </c>
      <c r="S55">
        <v>0</v>
      </c>
      <c r="T55" s="2">
        <v>6.9999999999999994E-5</v>
      </c>
      <c r="U55">
        <v>2.31E-3</v>
      </c>
      <c r="V55">
        <v>1.9000000000000001E-4</v>
      </c>
      <c r="W55">
        <v>3.5500000000000002E-3</v>
      </c>
      <c r="X55">
        <v>-6.9199999999999999E-3</v>
      </c>
      <c r="Y55">
        <v>-1.4E-3</v>
      </c>
      <c r="Z55">
        <v>-2.7999999999999998E-4</v>
      </c>
      <c r="AA55">
        <v>0</v>
      </c>
      <c r="AB55">
        <v>0</v>
      </c>
      <c r="AC55">
        <v>-7.6000000000000004E-4</v>
      </c>
      <c r="AD55">
        <v>-1.1E-4</v>
      </c>
      <c r="AE55">
        <v>-1.4400000000000001E-3</v>
      </c>
      <c r="AF55">
        <v>1.42E-3</v>
      </c>
      <c r="AG55" s="2">
        <v>-4.0000000000000003E-5</v>
      </c>
      <c r="AH55">
        <v>-1.7799999999999999E-3</v>
      </c>
      <c r="AI55" s="2">
        <v>-1.0000000000000001E-5</v>
      </c>
    </row>
    <row r="56" spans="1:35" hidden="1" outlineLevel="1" x14ac:dyDescent="0.25">
      <c r="A56" s="1">
        <v>40753</v>
      </c>
      <c r="B56" s="8">
        <v>-2.9399999999999999E-2</v>
      </c>
      <c r="C56">
        <v>-2.7699999999999999E-2</v>
      </c>
      <c r="D56">
        <v>-2.1474425791952023E-2</v>
      </c>
      <c r="E56">
        <v>8.9599999999999992E-3</v>
      </c>
      <c r="F56">
        <v>2.6700000000000001E-3</v>
      </c>
      <c r="G56">
        <v>-3.2000000000000002E-3</v>
      </c>
      <c r="H56">
        <v>-3.7599999999999999E-3</v>
      </c>
      <c r="I56">
        <v>-3.8400000000000001E-3</v>
      </c>
      <c r="J56">
        <v>-4.8199999999999996E-3</v>
      </c>
      <c r="K56">
        <v>0</v>
      </c>
      <c r="L56">
        <v>-2.5799999999999998E-3</v>
      </c>
      <c r="M56" s="2">
        <v>2.0000000000000002E-5</v>
      </c>
      <c r="N56">
        <v>-8.1999999999999998E-4</v>
      </c>
      <c r="O56">
        <v>-3.3800000000000002E-3</v>
      </c>
      <c r="P56">
        <v>-4.8999999999999998E-4</v>
      </c>
      <c r="Q56">
        <v>-1.8000000000000001E-4</v>
      </c>
      <c r="R56">
        <v>1.9000000000000001E-4</v>
      </c>
      <c r="S56">
        <v>0</v>
      </c>
      <c r="T56">
        <v>-1.14E-3</v>
      </c>
      <c r="U56">
        <v>3.14E-3</v>
      </c>
      <c r="V56" s="2">
        <v>1.0000000000000001E-5</v>
      </c>
      <c r="W56">
        <v>-7.28E-3</v>
      </c>
      <c r="X56">
        <v>-4.4600000000000004E-3</v>
      </c>
      <c r="Y56">
        <v>-2.5300000000000001E-3</v>
      </c>
      <c r="Z56">
        <v>-4.6999999999999999E-4</v>
      </c>
      <c r="AA56">
        <v>0</v>
      </c>
      <c r="AB56">
        <v>0</v>
      </c>
      <c r="AC56">
        <v>1.81E-3</v>
      </c>
      <c r="AD56">
        <v>-1.2800000000000001E-3</v>
      </c>
      <c r="AE56">
        <v>-7.3999999999999999E-4</v>
      </c>
      <c r="AF56">
        <v>-9.3999999999999997E-4</v>
      </c>
      <c r="AG56">
        <v>-2.5999999999999998E-4</v>
      </c>
      <c r="AH56">
        <v>-4.0400000000000002E-3</v>
      </c>
      <c r="AI56">
        <v>0</v>
      </c>
    </row>
    <row r="57" spans="1:35" hidden="1" outlineLevel="1" x14ac:dyDescent="0.25">
      <c r="A57" s="1">
        <v>40786</v>
      </c>
      <c r="B57" s="8">
        <v>-5.6099999999999997E-2</v>
      </c>
      <c r="C57">
        <v>-3.1600000000000003E-2</v>
      </c>
      <c r="D57">
        <v>-5.6791107463597612E-2</v>
      </c>
      <c r="E57">
        <v>-7.9000000000000001E-4</v>
      </c>
      <c r="F57">
        <v>-9.8999999999999999E-4</v>
      </c>
      <c r="G57">
        <v>-3.0999999999999999E-3</v>
      </c>
      <c r="H57">
        <v>-5.1999999999999998E-3</v>
      </c>
      <c r="I57">
        <v>-3.82E-3</v>
      </c>
      <c r="J57">
        <v>-5.6100000000000004E-3</v>
      </c>
      <c r="K57">
        <v>0</v>
      </c>
      <c r="L57">
        <v>-4.1599999999999996E-3</v>
      </c>
      <c r="M57" s="2">
        <v>8.0000000000000007E-5</v>
      </c>
      <c r="N57">
        <v>-8.9599999999999992E-3</v>
      </c>
      <c r="O57">
        <v>-6.0000000000000001E-3</v>
      </c>
      <c r="P57">
        <v>4.6000000000000001E-4</v>
      </c>
      <c r="Q57">
        <v>-2.1900000000000001E-3</v>
      </c>
      <c r="R57">
        <v>6.4000000000000005E-4</v>
      </c>
      <c r="S57">
        <v>0</v>
      </c>
      <c r="T57">
        <v>-5.8E-4</v>
      </c>
      <c r="U57">
        <v>-1.3600000000000001E-3</v>
      </c>
      <c r="V57">
        <v>-1.1E-4</v>
      </c>
      <c r="W57">
        <v>-5.0899999999999999E-3</v>
      </c>
      <c r="X57">
        <v>-1.2700000000000001E-3</v>
      </c>
      <c r="Y57">
        <v>-5.2399999999999999E-3</v>
      </c>
      <c r="Z57" s="2">
        <v>-3.0000000000000001E-5</v>
      </c>
      <c r="AA57">
        <v>0</v>
      </c>
      <c r="AB57">
        <v>0</v>
      </c>
      <c r="AC57">
        <v>-8.9999999999999998E-4</v>
      </c>
      <c r="AD57">
        <v>-6.2E-4</v>
      </c>
      <c r="AE57">
        <v>-1.17E-3</v>
      </c>
      <c r="AF57">
        <v>-1.06E-3</v>
      </c>
      <c r="AG57">
        <v>-1E-4</v>
      </c>
      <c r="AH57">
        <v>1.06E-3</v>
      </c>
      <c r="AI57" s="2">
        <v>-1.0000000000000001E-5</v>
      </c>
    </row>
    <row r="58" spans="1:35" hidden="1" outlineLevel="1" x14ac:dyDescent="0.25">
      <c r="A58" s="1">
        <v>40816</v>
      </c>
      <c r="B58" s="8">
        <v>-9.1200000000000003E-2</v>
      </c>
      <c r="C58">
        <v>-6.8199999999999997E-2</v>
      </c>
      <c r="D58">
        <v>-7.1761988303760127E-2</v>
      </c>
      <c r="E58">
        <v>-5.0000000000000001E-4</v>
      </c>
      <c r="F58">
        <v>1.3999999999999999E-4</v>
      </c>
      <c r="G58">
        <v>-6.4999999999999997E-3</v>
      </c>
      <c r="H58">
        <v>-8.2799999999999992E-3</v>
      </c>
      <c r="I58">
        <v>-5.6100000000000004E-3</v>
      </c>
      <c r="J58">
        <v>-1.3429999999999999E-2</v>
      </c>
      <c r="K58">
        <v>0</v>
      </c>
      <c r="L58">
        <v>-5.3299999999999997E-3</v>
      </c>
      <c r="M58">
        <v>2.2000000000000001E-4</v>
      </c>
      <c r="N58">
        <v>-8.6899999999999998E-3</v>
      </c>
      <c r="O58">
        <v>-3.8700000000000002E-3</v>
      </c>
      <c r="P58">
        <v>-6.0999999999999997E-4</v>
      </c>
      <c r="Q58">
        <v>-6.0800000000000003E-3</v>
      </c>
      <c r="R58">
        <v>-6.0999999999999997E-4</v>
      </c>
      <c r="S58">
        <v>0</v>
      </c>
      <c r="T58">
        <v>-1.89E-3</v>
      </c>
      <c r="U58">
        <v>-3.7499999999999999E-3</v>
      </c>
      <c r="V58" s="2">
        <v>-3.0000000000000001E-5</v>
      </c>
      <c r="W58">
        <v>-2.5600000000000002E-3</v>
      </c>
      <c r="X58">
        <v>-2.0300000000000001E-3</v>
      </c>
      <c r="Y58">
        <v>-7.6699999999999997E-3</v>
      </c>
      <c r="Z58">
        <v>-4.8999999999999998E-4</v>
      </c>
      <c r="AA58">
        <v>0</v>
      </c>
      <c r="AB58">
        <v>0</v>
      </c>
      <c r="AC58">
        <v>-3.14E-3</v>
      </c>
      <c r="AD58" s="2">
        <v>3.0000000000000001E-5</v>
      </c>
      <c r="AE58">
        <v>-1.6800000000000001E-3</v>
      </c>
      <c r="AF58">
        <v>-6.4999999999999997E-4</v>
      </c>
      <c r="AG58">
        <v>-3.3E-4</v>
      </c>
      <c r="AH58">
        <v>-7.8300000000000002E-3</v>
      </c>
      <c r="AI58">
        <v>0</v>
      </c>
    </row>
    <row r="59" spans="1:35" hidden="1" outlineLevel="1" x14ac:dyDescent="0.25">
      <c r="A59" s="1">
        <v>40847</v>
      </c>
      <c r="B59" s="8">
        <v>0.1211</v>
      </c>
      <c r="C59">
        <v>9.5100000000000004E-2</v>
      </c>
      <c r="D59">
        <v>0.10772303853581011</v>
      </c>
      <c r="E59">
        <v>3.3800000000000002E-3</v>
      </c>
      <c r="F59">
        <v>-3.8000000000000002E-4</v>
      </c>
      <c r="G59">
        <v>5.9699999999999996E-3</v>
      </c>
      <c r="H59">
        <v>3.8300000000000001E-3</v>
      </c>
      <c r="I59">
        <v>3.65E-3</v>
      </c>
      <c r="J59">
        <v>2.0330000000000001E-2</v>
      </c>
      <c r="K59">
        <v>0</v>
      </c>
      <c r="L59">
        <v>8.43E-3</v>
      </c>
      <c r="M59" s="2">
        <v>8.0000000000000007E-5</v>
      </c>
      <c r="N59">
        <v>1.188E-2</v>
      </c>
      <c r="O59">
        <v>6.5799999999999999E-3</v>
      </c>
      <c r="P59">
        <v>2.1000000000000001E-4</v>
      </c>
      <c r="Q59">
        <v>4.9800000000000001E-3</v>
      </c>
      <c r="R59">
        <v>2.0000000000000001E-4</v>
      </c>
      <c r="S59">
        <v>0</v>
      </c>
      <c r="T59">
        <v>1.41E-3</v>
      </c>
      <c r="U59">
        <v>4.0800000000000003E-3</v>
      </c>
      <c r="V59">
        <v>3.5E-4</v>
      </c>
      <c r="W59">
        <v>6.11E-3</v>
      </c>
      <c r="X59">
        <v>6.1900000000000002E-3</v>
      </c>
      <c r="Y59">
        <v>1.349E-2</v>
      </c>
      <c r="Z59">
        <v>6.3000000000000003E-4</v>
      </c>
      <c r="AA59">
        <v>0</v>
      </c>
      <c r="AB59">
        <v>0</v>
      </c>
      <c r="AC59">
        <v>8.2400000000000008E-3</v>
      </c>
      <c r="AD59">
        <v>1E-3</v>
      </c>
      <c r="AE59">
        <v>3.8700000000000002E-3</v>
      </c>
      <c r="AF59">
        <v>1.01E-3</v>
      </c>
      <c r="AG59">
        <v>5.8E-4</v>
      </c>
      <c r="AH59">
        <v>4.9699999999999996E-3</v>
      </c>
      <c r="AI59" s="2">
        <v>2.0000000000000002E-5</v>
      </c>
    </row>
    <row r="60" spans="1:35" hidden="1" outlineLevel="1" x14ac:dyDescent="0.25">
      <c r="A60" s="1">
        <v>40877</v>
      </c>
      <c r="B60" s="8">
        <v>6.9999999999999999E-4</v>
      </c>
      <c r="C60">
        <v>2.8999999999999998E-3</v>
      </c>
      <c r="D60">
        <v>-5.0587151935872487E-3</v>
      </c>
      <c r="E60">
        <v>-3.0599999999999998E-3</v>
      </c>
      <c r="F60">
        <v>-3.0100000000000001E-3</v>
      </c>
      <c r="G60">
        <v>3.4499999999999999E-3</v>
      </c>
      <c r="H60">
        <v>-6.6699999999999997E-3</v>
      </c>
      <c r="I60">
        <v>4.9899999999999996E-3</v>
      </c>
      <c r="J60">
        <v>2.5799999999999998E-3</v>
      </c>
      <c r="K60">
        <v>0</v>
      </c>
      <c r="L60">
        <v>1.83E-3</v>
      </c>
      <c r="M60" s="2">
        <v>5.0000000000000002E-5</v>
      </c>
      <c r="N60">
        <v>2.1099999999999999E-3</v>
      </c>
      <c r="O60">
        <v>-3.2200000000000002E-3</v>
      </c>
      <c r="P60">
        <v>2.5999999999999998E-4</v>
      </c>
      <c r="Q60">
        <v>-3.3500000000000001E-3</v>
      </c>
      <c r="R60">
        <v>-1.6000000000000001E-4</v>
      </c>
      <c r="S60">
        <v>0</v>
      </c>
      <c r="T60">
        <v>4.6000000000000001E-4</v>
      </c>
      <c r="U60">
        <v>-1.8600000000000001E-3</v>
      </c>
      <c r="V60">
        <v>0</v>
      </c>
      <c r="W60">
        <v>-1.8000000000000001E-4</v>
      </c>
      <c r="X60">
        <v>1.9E-3</v>
      </c>
      <c r="Y60">
        <v>2.8900000000000002E-3</v>
      </c>
      <c r="Z60">
        <v>3.6999999999999999E-4</v>
      </c>
      <c r="AA60">
        <v>0</v>
      </c>
      <c r="AB60">
        <v>0</v>
      </c>
      <c r="AC60">
        <v>-1.2199999999999999E-3</v>
      </c>
      <c r="AD60">
        <v>-2.5999999999999998E-4</v>
      </c>
      <c r="AE60">
        <v>8.8000000000000003E-4</v>
      </c>
      <c r="AF60">
        <v>4.0000000000000002E-4</v>
      </c>
      <c r="AG60">
        <v>1.4999999999999999E-4</v>
      </c>
      <c r="AH60">
        <v>1.3600000000000001E-3</v>
      </c>
      <c r="AI60" s="2">
        <v>1.0000000000000001E-5</v>
      </c>
    </row>
    <row r="61" spans="1:35" hidden="1" outlineLevel="1" x14ac:dyDescent="0.25">
      <c r="A61" s="1">
        <v>40907</v>
      </c>
      <c r="B61" s="8">
        <v>3.0599999999999999E-2</v>
      </c>
      <c r="C61">
        <v>2.98E-2</v>
      </c>
      <c r="D61">
        <v>8.532763948144062E-3</v>
      </c>
      <c r="E61">
        <v>3.2799999999999999E-3</v>
      </c>
      <c r="F61">
        <v>-3.0200000000000001E-3</v>
      </c>
      <c r="G61">
        <v>4.64E-3</v>
      </c>
      <c r="H61">
        <v>7.2999999999999996E-4</v>
      </c>
      <c r="I61">
        <v>2.4299999999999999E-3</v>
      </c>
      <c r="J61">
        <v>-5.3E-3</v>
      </c>
      <c r="K61">
        <v>0</v>
      </c>
      <c r="L61">
        <v>1.66E-3</v>
      </c>
      <c r="M61">
        <v>1.4999999999999999E-4</v>
      </c>
      <c r="N61">
        <v>4.7600000000000003E-3</v>
      </c>
      <c r="O61">
        <v>9.1699999999999993E-3</v>
      </c>
      <c r="P61">
        <v>2.5000000000000001E-4</v>
      </c>
      <c r="Q61">
        <v>2.2599999999999999E-3</v>
      </c>
      <c r="R61">
        <v>7.2999999999999996E-4</v>
      </c>
      <c r="S61">
        <v>0</v>
      </c>
      <c r="T61">
        <v>1.2E-4</v>
      </c>
      <c r="U61">
        <v>8.7000000000000001E-4</v>
      </c>
      <c r="V61" s="2">
        <v>2.0000000000000002E-5</v>
      </c>
      <c r="W61">
        <v>1.41E-3</v>
      </c>
      <c r="X61">
        <v>-3.8300000000000001E-3</v>
      </c>
      <c r="Y61">
        <v>-2.16E-3</v>
      </c>
      <c r="Z61">
        <v>5.5999999999999995E-4</v>
      </c>
      <c r="AA61">
        <v>0</v>
      </c>
      <c r="AB61">
        <v>0</v>
      </c>
      <c r="AC61">
        <v>1.9E-3</v>
      </c>
      <c r="AD61">
        <v>1.01E-3</v>
      </c>
      <c r="AE61" s="2">
        <v>-3.0000000000000001E-5</v>
      </c>
      <c r="AF61">
        <v>1.06E-3</v>
      </c>
      <c r="AG61">
        <v>1E-4</v>
      </c>
      <c r="AH61">
        <v>7.8200000000000006E-3</v>
      </c>
      <c r="AI61" s="2">
        <v>1.0000000000000001E-5</v>
      </c>
    </row>
    <row r="62" spans="1:35" hidden="1" outlineLevel="1" x14ac:dyDescent="0.25">
      <c r="A62" s="1">
        <v>40939</v>
      </c>
      <c r="B62" s="8">
        <v>-2.1100000000000001E-2</v>
      </c>
      <c r="C62">
        <v>4.5999999999999999E-2</v>
      </c>
      <c r="D62">
        <v>4.3583062218506274E-2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-1.1800000000000001E-3</v>
      </c>
      <c r="L62">
        <v>0</v>
      </c>
      <c r="M62">
        <v>-5.7299999999999999E-3</v>
      </c>
      <c r="N62">
        <v>0</v>
      </c>
      <c r="O62">
        <v>0</v>
      </c>
      <c r="P62">
        <v>5.0000000000000001E-4</v>
      </c>
      <c r="Q62">
        <v>0</v>
      </c>
      <c r="R62">
        <v>-3.49E-3</v>
      </c>
      <c r="S62">
        <v>-1.2800000000000001E-3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-1.1100000000000001E-3</v>
      </c>
      <c r="AA62">
        <v>-4.7099999999999998E-3</v>
      </c>
      <c r="AB62">
        <v>-1.58E-3</v>
      </c>
      <c r="AC62">
        <v>0</v>
      </c>
      <c r="AD62">
        <v>-1.2899999999999999E-3</v>
      </c>
      <c r="AE62">
        <v>0</v>
      </c>
      <c r="AF62">
        <v>0</v>
      </c>
      <c r="AG62">
        <v>0</v>
      </c>
      <c r="AH62">
        <v>0</v>
      </c>
      <c r="AI62">
        <v>-1.1999999999999999E-3</v>
      </c>
    </row>
    <row r="63" spans="1:35" hidden="1" outlineLevel="1" x14ac:dyDescent="0.25">
      <c r="A63" s="1">
        <v>40968</v>
      </c>
      <c r="B63" s="8">
        <v>2.1499999999999998E-2</v>
      </c>
      <c r="C63">
        <v>4.1799999999999997E-2</v>
      </c>
      <c r="D63">
        <v>4.0589464130841746E-2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2.7100000000000002E-3</v>
      </c>
      <c r="L63">
        <v>0</v>
      </c>
      <c r="M63">
        <v>1.91E-3</v>
      </c>
      <c r="N63">
        <v>0</v>
      </c>
      <c r="O63">
        <v>0</v>
      </c>
      <c r="P63">
        <v>-3.8999999999999999E-4</v>
      </c>
      <c r="Q63">
        <v>0</v>
      </c>
      <c r="R63">
        <v>3.4499999999999999E-3</v>
      </c>
      <c r="S63">
        <v>9.3999999999999997E-4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-2.5999999999999998E-4</v>
      </c>
      <c r="AA63">
        <v>7.2700000000000004E-3</v>
      </c>
      <c r="AB63">
        <v>-1.97E-3</v>
      </c>
      <c r="AC63">
        <v>0</v>
      </c>
      <c r="AD63">
        <v>4.0099999999999997E-3</v>
      </c>
      <c r="AE63">
        <v>0</v>
      </c>
      <c r="AF63">
        <v>0</v>
      </c>
      <c r="AG63">
        <v>0</v>
      </c>
      <c r="AH63">
        <v>0</v>
      </c>
      <c r="AI63">
        <v>3.8600000000000001E-3</v>
      </c>
    </row>
    <row r="64" spans="1:35" hidden="1" outlineLevel="1" x14ac:dyDescent="0.25">
      <c r="A64" s="1">
        <v>40998</v>
      </c>
      <c r="B64" s="8">
        <v>2.3900000000000001E-2</v>
      </c>
      <c r="C64">
        <v>3.5099999999999999E-2</v>
      </c>
      <c r="D64">
        <v>3.1332314530530647E-2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4.9399999999999999E-3</v>
      </c>
      <c r="L64">
        <v>0</v>
      </c>
      <c r="M64">
        <v>1.47E-3</v>
      </c>
      <c r="N64">
        <v>0</v>
      </c>
      <c r="O64">
        <v>0</v>
      </c>
      <c r="P64">
        <v>1.3500000000000001E-3</v>
      </c>
      <c r="Q64">
        <v>0</v>
      </c>
      <c r="R64">
        <v>6.6699999999999997E-3</v>
      </c>
      <c r="S64">
        <v>-1.1900000000000001E-3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7.1999999999999998E-3</v>
      </c>
      <c r="AA64">
        <v>-6.0999999999999997E-4</v>
      </c>
      <c r="AB64">
        <v>1.67E-3</v>
      </c>
      <c r="AC64">
        <v>0</v>
      </c>
      <c r="AD64">
        <v>2.0899999999999998E-3</v>
      </c>
      <c r="AE64">
        <v>0</v>
      </c>
      <c r="AF64">
        <v>0</v>
      </c>
      <c r="AG64">
        <v>0</v>
      </c>
      <c r="AH64">
        <v>0</v>
      </c>
      <c r="AI64">
        <v>2.7E-4</v>
      </c>
    </row>
    <row r="65" spans="1:35" hidden="1" outlineLevel="1" x14ac:dyDescent="0.25">
      <c r="A65" s="1">
        <v>41029</v>
      </c>
      <c r="B65" s="8">
        <v>1.01E-2</v>
      </c>
      <c r="C65">
        <v>-8.8999999999999999E-3</v>
      </c>
      <c r="D65">
        <v>-7.4974527092703802E-3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1.82E-3</v>
      </c>
      <c r="L65">
        <v>0</v>
      </c>
      <c r="M65">
        <v>1.91E-3</v>
      </c>
      <c r="N65">
        <v>0</v>
      </c>
      <c r="O65">
        <v>0</v>
      </c>
      <c r="P65">
        <v>-1.2999999999999999E-3</v>
      </c>
      <c r="Q65">
        <v>0</v>
      </c>
      <c r="R65">
        <v>3.1199999999999999E-3</v>
      </c>
      <c r="S65">
        <v>-6.6E-4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1.1299999999999999E-3</v>
      </c>
      <c r="AA65">
        <v>-4.4799999999999996E-3</v>
      </c>
      <c r="AB65">
        <v>2.2499999999999998E-3</v>
      </c>
      <c r="AC65">
        <v>0</v>
      </c>
      <c r="AD65">
        <v>6.79E-3</v>
      </c>
      <c r="AE65">
        <v>0</v>
      </c>
      <c r="AF65">
        <v>0</v>
      </c>
      <c r="AG65">
        <v>0</v>
      </c>
      <c r="AH65">
        <v>0</v>
      </c>
      <c r="AI65">
        <v>-4.4999999999999999E-4</v>
      </c>
    </row>
    <row r="66" spans="1:35" hidden="1" outlineLevel="1" x14ac:dyDescent="0.25">
      <c r="A66" s="1">
        <v>41060</v>
      </c>
      <c r="B66" s="8">
        <v>-2.18E-2</v>
      </c>
      <c r="C66">
        <v>-5.7500000000000002E-2</v>
      </c>
      <c r="D66">
        <v>-6.265072563317764E-2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-6.4999999999999997E-4</v>
      </c>
      <c r="L66">
        <v>0</v>
      </c>
      <c r="M66">
        <v>7.6000000000000004E-4</v>
      </c>
      <c r="N66">
        <v>0</v>
      </c>
      <c r="O66">
        <v>0</v>
      </c>
      <c r="P66">
        <v>-3.16E-3</v>
      </c>
      <c r="Q66">
        <v>0</v>
      </c>
      <c r="R66">
        <v>-2.0799999999999998E-3</v>
      </c>
      <c r="S66">
        <v>-7.6E-3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-3.5400000000000002E-3</v>
      </c>
      <c r="AA66">
        <v>-2.1199999999999999E-3</v>
      </c>
      <c r="AB66">
        <v>1E-3</v>
      </c>
      <c r="AC66">
        <v>0</v>
      </c>
      <c r="AD66">
        <v>3.8300000000000001E-3</v>
      </c>
      <c r="AE66">
        <v>0</v>
      </c>
      <c r="AF66">
        <v>0</v>
      </c>
      <c r="AG66">
        <v>0</v>
      </c>
      <c r="AH66">
        <v>0</v>
      </c>
      <c r="AI66">
        <v>-8.2699999999999996E-3</v>
      </c>
    </row>
    <row r="67" spans="1:35" hidden="1" outlineLevel="1" x14ac:dyDescent="0.25">
      <c r="A67" s="1">
        <v>41089</v>
      </c>
      <c r="B67" s="8">
        <v>3.9800000000000002E-2</v>
      </c>
      <c r="C67">
        <v>4.7500000000000001E-2</v>
      </c>
      <c r="D67">
        <v>3.9554982134591521E-2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5.8999999999999999E-3</v>
      </c>
      <c r="L67">
        <v>0</v>
      </c>
      <c r="M67">
        <v>3.7299999999999998E-3</v>
      </c>
      <c r="N67">
        <v>0</v>
      </c>
      <c r="O67">
        <v>0</v>
      </c>
      <c r="P67">
        <v>8.2199999999999999E-3</v>
      </c>
      <c r="Q67">
        <v>0</v>
      </c>
      <c r="R67">
        <v>5.3099999999999996E-3</v>
      </c>
      <c r="S67">
        <v>-9.1E-4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5.1700000000000001E-3</v>
      </c>
      <c r="AA67">
        <v>-1.67E-3</v>
      </c>
      <c r="AB67">
        <v>8.4999999999999995E-4</v>
      </c>
      <c r="AC67">
        <v>0</v>
      </c>
      <c r="AD67">
        <v>4.3600000000000002E-3</v>
      </c>
      <c r="AE67">
        <v>0</v>
      </c>
      <c r="AF67">
        <v>0</v>
      </c>
      <c r="AG67">
        <v>0</v>
      </c>
      <c r="AH67">
        <v>0</v>
      </c>
      <c r="AI67">
        <v>8.8299999999999993E-3</v>
      </c>
    </row>
    <row r="68" spans="1:35" hidden="1" outlineLevel="1" x14ac:dyDescent="0.25">
      <c r="A68" s="1">
        <v>41121</v>
      </c>
      <c r="B68" s="8">
        <v>3.49E-2</v>
      </c>
      <c r="C68">
        <v>8.8000000000000005E-3</v>
      </c>
      <c r="D68">
        <v>1.2597574126154365E-2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3.7299999999999998E-3</v>
      </c>
      <c r="L68">
        <v>0</v>
      </c>
      <c r="M68">
        <v>5.6999999999999998E-4</v>
      </c>
      <c r="N68">
        <v>0</v>
      </c>
      <c r="O68">
        <v>0</v>
      </c>
      <c r="P68">
        <v>2.4599999999999999E-3</v>
      </c>
      <c r="Q68">
        <v>0</v>
      </c>
      <c r="R68">
        <v>3.3400000000000001E-3</v>
      </c>
      <c r="S68">
        <v>9.3999999999999997E-4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4.5199999999999997E-3</v>
      </c>
      <c r="AA68">
        <v>6.2899999999999996E-3</v>
      </c>
      <c r="AB68">
        <v>4.0000000000000001E-3</v>
      </c>
      <c r="AC68">
        <v>0</v>
      </c>
      <c r="AD68">
        <v>7.5700000000000003E-3</v>
      </c>
      <c r="AE68">
        <v>0</v>
      </c>
      <c r="AF68">
        <v>0</v>
      </c>
      <c r="AG68">
        <v>0</v>
      </c>
      <c r="AH68">
        <v>0</v>
      </c>
      <c r="AI68">
        <v>1.5E-3</v>
      </c>
    </row>
    <row r="69" spans="1:35" hidden="1" outlineLevel="1" x14ac:dyDescent="0.25">
      <c r="A69" s="1">
        <v>41152</v>
      </c>
      <c r="B69" s="8">
        <v>-1.43E-2</v>
      </c>
      <c r="C69">
        <v>1.4999999999999999E-2</v>
      </c>
      <c r="D69">
        <v>1.9763369680148246E-2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-9.7999999999999997E-4</v>
      </c>
      <c r="L69">
        <v>0</v>
      </c>
      <c r="M69">
        <v>-2.3999999999999998E-3</v>
      </c>
      <c r="N69">
        <v>0</v>
      </c>
      <c r="O69">
        <v>0</v>
      </c>
      <c r="P69">
        <v>-1.6999999999999999E-3</v>
      </c>
      <c r="Q69">
        <v>0</v>
      </c>
      <c r="R69">
        <v>-7.43E-3</v>
      </c>
      <c r="S69">
        <v>9.3000000000000005E-4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1.7000000000000001E-4</v>
      </c>
      <c r="AA69">
        <v>4.1099999999999999E-3</v>
      </c>
      <c r="AB69">
        <v>-4.8399999999999997E-3</v>
      </c>
      <c r="AC69">
        <v>0</v>
      </c>
      <c r="AD69">
        <v>-3.3800000000000002E-3</v>
      </c>
      <c r="AE69">
        <v>0</v>
      </c>
      <c r="AF69">
        <v>0</v>
      </c>
      <c r="AG69">
        <v>0</v>
      </c>
      <c r="AH69">
        <v>0</v>
      </c>
      <c r="AI69">
        <v>1.17E-3</v>
      </c>
    </row>
    <row r="70" spans="1:35" hidden="1" outlineLevel="1" x14ac:dyDescent="0.25">
      <c r="A70" s="1">
        <v>41180</v>
      </c>
      <c r="B70" s="8">
        <v>2.53E-2</v>
      </c>
      <c r="C70">
        <v>2.52E-2</v>
      </c>
      <c r="D70">
        <v>2.4236153696477025E-2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8.5999999999999998E-4</v>
      </c>
      <c r="L70">
        <v>0</v>
      </c>
      <c r="M70">
        <v>8.8000000000000003E-4</v>
      </c>
      <c r="N70">
        <v>0</v>
      </c>
      <c r="O70">
        <v>0</v>
      </c>
      <c r="P70">
        <v>2.1900000000000001E-3</v>
      </c>
      <c r="Q70">
        <v>0</v>
      </c>
      <c r="R70">
        <v>2.0999999999999999E-3</v>
      </c>
      <c r="S70">
        <v>2.5300000000000001E-3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4.15E-3</v>
      </c>
      <c r="AA70">
        <v>3.2299999999999998E-3</v>
      </c>
      <c r="AB70">
        <v>1.6800000000000001E-3</v>
      </c>
      <c r="AC70">
        <v>0</v>
      </c>
      <c r="AD70">
        <v>2.8900000000000002E-3</v>
      </c>
      <c r="AE70">
        <v>0</v>
      </c>
      <c r="AF70">
        <v>0</v>
      </c>
      <c r="AG70">
        <v>0</v>
      </c>
      <c r="AH70">
        <v>0</v>
      </c>
      <c r="AI70">
        <v>4.7499999999999999E-3</v>
      </c>
    </row>
    <row r="71" spans="1:35" hidden="1" outlineLevel="1" x14ac:dyDescent="0.25">
      <c r="A71" s="1">
        <v>41213</v>
      </c>
      <c r="B71" s="8">
        <v>-1.15E-2</v>
      </c>
      <c r="C71">
        <v>-1.6899999999999998E-2</v>
      </c>
      <c r="D71">
        <v>-1.9789409878227415E-2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-1.5299999999999999E-3</v>
      </c>
      <c r="L71">
        <v>0</v>
      </c>
      <c r="M71">
        <v>-2.9999999999999997E-4</v>
      </c>
      <c r="N71">
        <v>0</v>
      </c>
      <c r="O71">
        <v>0</v>
      </c>
      <c r="P71">
        <v>2.7699999999999999E-3</v>
      </c>
      <c r="Q71">
        <v>0</v>
      </c>
      <c r="R71">
        <v>-1.98E-3</v>
      </c>
      <c r="S71">
        <v>-5.4000000000000003E-3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 s="2">
        <v>8.0000000000000007E-5</v>
      </c>
      <c r="AA71">
        <v>6.4000000000000005E-4</v>
      </c>
      <c r="AB71">
        <v>1.6299999999999999E-3</v>
      </c>
      <c r="AC71">
        <v>0</v>
      </c>
      <c r="AD71">
        <v>-7.0800000000000004E-3</v>
      </c>
      <c r="AE71">
        <v>0</v>
      </c>
      <c r="AF71">
        <v>0</v>
      </c>
      <c r="AG71">
        <v>0</v>
      </c>
      <c r="AH71">
        <v>0</v>
      </c>
      <c r="AI71">
        <v>-3.1E-4</v>
      </c>
    </row>
    <row r="72" spans="1:35" hidden="1" outlineLevel="1" x14ac:dyDescent="0.25">
      <c r="A72" s="1">
        <v>41243</v>
      </c>
      <c r="B72" s="8">
        <v>-3.3E-3</v>
      </c>
      <c r="C72">
        <v>1.29E-2</v>
      </c>
      <c r="D72">
        <v>2.8467170173434031E-3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3.3700000000000002E-3</v>
      </c>
      <c r="L72">
        <v>0</v>
      </c>
      <c r="M72">
        <v>-2.16E-3</v>
      </c>
      <c r="N72">
        <v>0</v>
      </c>
      <c r="O72">
        <v>0</v>
      </c>
      <c r="P72">
        <v>-6.8000000000000005E-4</v>
      </c>
      <c r="Q72">
        <v>0</v>
      </c>
      <c r="R72">
        <v>2.6800000000000001E-3</v>
      </c>
      <c r="S72">
        <v>1.16E-3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1.49E-3</v>
      </c>
      <c r="AA72">
        <v>8.4999999999999995E-4</v>
      </c>
      <c r="AB72">
        <v>-5.9800000000000001E-3</v>
      </c>
      <c r="AC72">
        <v>0</v>
      </c>
      <c r="AD72">
        <v>-1.33E-3</v>
      </c>
      <c r="AE72">
        <v>0</v>
      </c>
      <c r="AF72">
        <v>0</v>
      </c>
      <c r="AG72">
        <v>0</v>
      </c>
      <c r="AH72">
        <v>0</v>
      </c>
      <c r="AI72">
        <v>-2.7000000000000001E-3</v>
      </c>
    </row>
    <row r="73" spans="1:35" hidden="1" outlineLevel="1" x14ac:dyDescent="0.25">
      <c r="A73" s="1">
        <v>41274</v>
      </c>
      <c r="B73" s="8">
        <v>-1.21E-2</v>
      </c>
      <c r="C73">
        <v>1.1900000000000001E-2</v>
      </c>
      <c r="D73">
        <v>7.068230463864511E-3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-3.65E-3</v>
      </c>
      <c r="L73">
        <v>0</v>
      </c>
      <c r="M73">
        <v>1.3500000000000001E-3</v>
      </c>
      <c r="N73">
        <v>0</v>
      </c>
      <c r="O73">
        <v>0</v>
      </c>
      <c r="P73">
        <v>5.2999999999999998E-4</v>
      </c>
      <c r="Q73">
        <v>0</v>
      </c>
      <c r="R73">
        <v>-4.4000000000000003E-3</v>
      </c>
      <c r="S73">
        <v>1.34E-3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2.4000000000000001E-4</v>
      </c>
      <c r="AA73">
        <v>-2.7799999999999999E-3</v>
      </c>
      <c r="AB73">
        <v>-1.6999999999999999E-3</v>
      </c>
      <c r="AC73">
        <v>0</v>
      </c>
      <c r="AD73">
        <v>-1.23E-3</v>
      </c>
      <c r="AE73">
        <v>0</v>
      </c>
      <c r="AF73">
        <v>0</v>
      </c>
      <c r="AG73">
        <v>0</v>
      </c>
      <c r="AH73">
        <v>0</v>
      </c>
      <c r="AI73">
        <v>-1.8E-3</v>
      </c>
    </row>
    <row r="74" spans="1:35" hidden="1" outlineLevel="1" x14ac:dyDescent="0.25">
      <c r="A74" s="1">
        <v>41305</v>
      </c>
      <c r="B74" s="8">
        <v>4.1700000000000001E-2</v>
      </c>
      <c r="C74">
        <v>4.5600000000000002E-2</v>
      </c>
      <c r="D74">
        <v>5.0428096519578469E-2</v>
      </c>
      <c r="E74">
        <v>-7.6800000000000002E-3</v>
      </c>
      <c r="F74">
        <v>1.8699999999999999E-3</v>
      </c>
      <c r="G74">
        <v>-1.1900000000000001E-3</v>
      </c>
      <c r="H74">
        <v>-5.9999999999999995E-4</v>
      </c>
      <c r="I74">
        <v>7.9299999999999995E-3</v>
      </c>
      <c r="J74">
        <v>5.7299999999999999E-3</v>
      </c>
      <c r="K74">
        <v>0</v>
      </c>
      <c r="L74" s="2">
        <v>1.0000000000000001E-5</v>
      </c>
      <c r="M74">
        <v>3.6999999999999999E-4</v>
      </c>
      <c r="N74">
        <v>5.5799999999999999E-3</v>
      </c>
      <c r="O74">
        <v>3.0699999999999998E-3</v>
      </c>
      <c r="P74">
        <v>6.3000000000000003E-4</v>
      </c>
      <c r="Q74">
        <v>2.5000000000000001E-3</v>
      </c>
      <c r="R74" s="2">
        <v>4.0000000000000003E-5</v>
      </c>
      <c r="S74">
        <v>0</v>
      </c>
      <c r="T74">
        <v>2.9399999999999999E-3</v>
      </c>
      <c r="U74">
        <v>1.57E-3</v>
      </c>
      <c r="V74">
        <v>6.4000000000000005E-4</v>
      </c>
      <c r="W74">
        <v>-2.1700000000000001E-3</v>
      </c>
      <c r="X74">
        <v>0</v>
      </c>
      <c r="Y74">
        <v>1.043E-2</v>
      </c>
      <c r="Z74">
        <v>1.6100000000000001E-3</v>
      </c>
      <c r="AA74">
        <v>0</v>
      </c>
      <c r="AB74">
        <v>0</v>
      </c>
      <c r="AC74">
        <v>5.1000000000000004E-4</v>
      </c>
      <c r="AD74">
        <v>7.9000000000000001E-4</v>
      </c>
      <c r="AE74">
        <v>1.58E-3</v>
      </c>
      <c r="AF74">
        <v>4.2000000000000002E-4</v>
      </c>
      <c r="AG74">
        <v>2.0699999999999998E-3</v>
      </c>
      <c r="AH74">
        <v>2.2000000000000001E-3</v>
      </c>
      <c r="AI74">
        <v>8.8999999999999995E-4</v>
      </c>
    </row>
    <row r="75" spans="1:35" hidden="1" outlineLevel="1" x14ac:dyDescent="0.25">
      <c r="A75" s="1">
        <v>41333</v>
      </c>
      <c r="B75" s="8">
        <v>5.0000000000000001E-3</v>
      </c>
      <c r="C75">
        <v>1.1599999999999999E-2</v>
      </c>
      <c r="D75">
        <v>1.1060649195259176E-2</v>
      </c>
      <c r="E75">
        <v>-1.34E-3</v>
      </c>
      <c r="F75">
        <v>-1.4999999999999999E-4</v>
      </c>
      <c r="G75">
        <v>2.8600000000000001E-3</v>
      </c>
      <c r="H75">
        <v>-1.7000000000000001E-4</v>
      </c>
      <c r="I75">
        <v>8.0999999999999996E-4</v>
      </c>
      <c r="J75">
        <v>-3.5799999999999998E-3</v>
      </c>
      <c r="K75">
        <v>0</v>
      </c>
      <c r="L75">
        <v>7.6000000000000004E-4</v>
      </c>
      <c r="M75">
        <v>3.8000000000000002E-4</v>
      </c>
      <c r="N75">
        <v>8.8999999999999995E-4</v>
      </c>
      <c r="O75">
        <v>2.5300000000000001E-3</v>
      </c>
      <c r="P75">
        <v>4.4000000000000002E-4</v>
      </c>
      <c r="Q75">
        <v>1.2899999999999999E-3</v>
      </c>
      <c r="R75" s="2">
        <v>6.0000000000000002E-5</v>
      </c>
      <c r="S75">
        <v>0</v>
      </c>
      <c r="T75">
        <v>1.4400000000000001E-3</v>
      </c>
      <c r="U75">
        <v>1.1999999999999999E-3</v>
      </c>
      <c r="V75">
        <v>1.4999999999999999E-4</v>
      </c>
      <c r="W75">
        <v>1.06E-3</v>
      </c>
      <c r="X75">
        <v>8.8000000000000003E-4</v>
      </c>
      <c r="Y75">
        <v>-4.6100000000000004E-3</v>
      </c>
      <c r="Z75" s="2">
        <v>5.0000000000000002E-5</v>
      </c>
      <c r="AA75">
        <v>0</v>
      </c>
      <c r="AB75">
        <v>0</v>
      </c>
      <c r="AC75" s="2">
        <v>-4.0000000000000003E-5</v>
      </c>
      <c r="AD75">
        <v>5.5999999999999995E-4</v>
      </c>
      <c r="AE75">
        <v>1.34E-3</v>
      </c>
      <c r="AF75">
        <v>-7.5000000000000002E-4</v>
      </c>
      <c r="AG75">
        <v>1.3799999999999999E-3</v>
      </c>
      <c r="AH75">
        <v>-2.5200000000000001E-3</v>
      </c>
      <c r="AI75" s="2">
        <v>4.0000000000000003E-5</v>
      </c>
    </row>
    <row r="76" spans="1:35" hidden="1" outlineLevel="1" x14ac:dyDescent="0.25">
      <c r="A76" s="1">
        <v>41361</v>
      </c>
      <c r="B76" s="8">
        <v>2.2700000000000001E-2</v>
      </c>
      <c r="C76">
        <v>2.87E-2</v>
      </c>
      <c r="D76">
        <v>3.5987723516956116E-2</v>
      </c>
      <c r="E76">
        <v>1.4999999999999999E-4</v>
      </c>
      <c r="F76">
        <v>2.7E-4</v>
      </c>
      <c r="G76">
        <v>7.0099999999999997E-3</v>
      </c>
      <c r="H76">
        <v>2.0400000000000001E-3</v>
      </c>
      <c r="I76">
        <v>4.3499999999999997E-3</v>
      </c>
      <c r="J76">
        <v>-3.4199999999999999E-3</v>
      </c>
      <c r="K76">
        <v>0</v>
      </c>
      <c r="L76">
        <v>2.6900000000000001E-3</v>
      </c>
      <c r="M76">
        <v>3.3E-4</v>
      </c>
      <c r="N76">
        <v>2.7499999999999998E-3</v>
      </c>
      <c r="O76">
        <v>-2.1000000000000001E-4</v>
      </c>
      <c r="P76">
        <v>8.1999999999999998E-4</v>
      </c>
      <c r="Q76">
        <v>-9.7000000000000005E-4</v>
      </c>
      <c r="R76" s="2">
        <v>6.9999999999999994E-5</v>
      </c>
      <c r="S76">
        <v>0</v>
      </c>
      <c r="T76">
        <v>7.9000000000000001E-4</v>
      </c>
      <c r="U76">
        <v>1.64E-3</v>
      </c>
      <c r="V76">
        <v>1.1299999999999999E-3</v>
      </c>
      <c r="W76">
        <v>3.9300000000000003E-3</v>
      </c>
      <c r="X76">
        <v>2.9999999999999997E-4</v>
      </c>
      <c r="Y76">
        <v>-2.7599999999999999E-3</v>
      </c>
      <c r="Z76">
        <v>8.9999999999999998E-4</v>
      </c>
      <c r="AA76">
        <v>0</v>
      </c>
      <c r="AB76">
        <v>0</v>
      </c>
      <c r="AC76" s="2">
        <v>-6.9999999999999994E-5</v>
      </c>
      <c r="AD76">
        <v>3.8000000000000002E-4</v>
      </c>
      <c r="AE76">
        <v>-2.7100000000000002E-3</v>
      </c>
      <c r="AF76">
        <v>1.74E-3</v>
      </c>
      <c r="AG76">
        <v>1.08E-3</v>
      </c>
      <c r="AH76">
        <v>3.8000000000000002E-4</v>
      </c>
      <c r="AI76">
        <v>1.3999999999999999E-4</v>
      </c>
    </row>
    <row r="77" spans="1:35" hidden="1" outlineLevel="1" x14ac:dyDescent="0.25">
      <c r="A77" s="1">
        <v>41394</v>
      </c>
      <c r="B77" s="8">
        <v>4.7399999999999998E-2</v>
      </c>
      <c r="C77">
        <v>3.78E-2</v>
      </c>
      <c r="D77">
        <v>1.8085767859252311E-2</v>
      </c>
      <c r="E77" s="2">
        <v>1.0000000000000001E-5</v>
      </c>
      <c r="F77">
        <v>-1.5299999999999999E-3</v>
      </c>
      <c r="G77">
        <v>3.8999999999999998E-3</v>
      </c>
      <c r="H77">
        <v>2.5999999999999998E-4</v>
      </c>
      <c r="I77">
        <v>2.0699999999999998E-3</v>
      </c>
      <c r="J77">
        <v>-1.1999999999999999E-3</v>
      </c>
      <c r="K77">
        <v>0</v>
      </c>
      <c r="L77">
        <v>4.2000000000000002E-4</v>
      </c>
      <c r="M77">
        <v>5.1000000000000004E-4</v>
      </c>
      <c r="N77">
        <v>7.2199999999999999E-3</v>
      </c>
      <c r="O77">
        <v>-1.7899999999999999E-3</v>
      </c>
      <c r="P77">
        <v>5.1999999999999995E-4</v>
      </c>
      <c r="Q77">
        <v>1.2700000000000001E-3</v>
      </c>
      <c r="R77" s="2">
        <v>6.9999999999999994E-5</v>
      </c>
      <c r="S77">
        <v>0</v>
      </c>
      <c r="T77">
        <v>-5.2999999999999998E-4</v>
      </c>
      <c r="U77">
        <v>8.9099999999999995E-3</v>
      </c>
      <c r="V77">
        <v>1.0499999999999999E-3</v>
      </c>
      <c r="W77">
        <v>4.6100000000000004E-3</v>
      </c>
      <c r="X77">
        <v>1.66E-3</v>
      </c>
      <c r="Y77">
        <v>9.5200000000000007E-3</v>
      </c>
      <c r="Z77">
        <v>1.2E-4</v>
      </c>
      <c r="AA77">
        <v>0</v>
      </c>
      <c r="AB77">
        <v>0</v>
      </c>
      <c r="AC77">
        <v>4.7099999999999998E-3</v>
      </c>
      <c r="AD77">
        <v>5.8E-4</v>
      </c>
      <c r="AE77">
        <v>5.1200000000000004E-3</v>
      </c>
      <c r="AF77">
        <v>1.1100000000000001E-3</v>
      </c>
      <c r="AG77" s="2">
        <v>-2.0000000000000002E-5</v>
      </c>
      <c r="AH77">
        <v>-8.8999999999999995E-4</v>
      </c>
      <c r="AI77">
        <v>-2.7999999999999998E-4</v>
      </c>
    </row>
    <row r="78" spans="1:35" hidden="1" outlineLevel="1" x14ac:dyDescent="0.25">
      <c r="A78" s="1">
        <v>41425</v>
      </c>
      <c r="B78" s="8">
        <v>3.44E-2</v>
      </c>
      <c r="C78">
        <v>1.4800000000000001E-2</v>
      </c>
      <c r="D78">
        <v>2.0762811721046104E-2</v>
      </c>
      <c r="E78">
        <v>1.1999999999999999E-3</v>
      </c>
      <c r="F78">
        <v>1.9499999999999999E-3</v>
      </c>
      <c r="G78">
        <v>5.3299999999999997E-3</v>
      </c>
      <c r="H78">
        <v>2.64E-3</v>
      </c>
      <c r="I78">
        <v>2.64E-3</v>
      </c>
      <c r="J78">
        <v>7.7999999999999999E-4</v>
      </c>
      <c r="K78">
        <v>0</v>
      </c>
      <c r="L78">
        <v>1.8600000000000001E-3</v>
      </c>
      <c r="M78">
        <v>-6.9999999999999999E-4</v>
      </c>
      <c r="N78">
        <v>2.5999999999999998E-4</v>
      </c>
      <c r="O78">
        <v>2.31E-3</v>
      </c>
      <c r="P78" s="2">
        <v>-5.0000000000000002E-5</v>
      </c>
      <c r="Q78">
        <v>3.7000000000000002E-3</v>
      </c>
      <c r="R78" s="2">
        <v>-8.0000000000000007E-5</v>
      </c>
      <c r="S78">
        <v>0</v>
      </c>
      <c r="T78">
        <v>2.0899999999999998E-3</v>
      </c>
      <c r="U78">
        <v>3.48E-3</v>
      </c>
      <c r="V78">
        <v>-3.6999999999999999E-4</v>
      </c>
      <c r="W78">
        <v>5.5399999999999998E-3</v>
      </c>
      <c r="X78">
        <v>1.2700000000000001E-3</v>
      </c>
      <c r="Y78">
        <v>2.16E-3</v>
      </c>
      <c r="Z78">
        <v>-9.1E-4</v>
      </c>
      <c r="AA78">
        <v>0</v>
      </c>
      <c r="AB78">
        <v>0</v>
      </c>
      <c r="AC78">
        <v>-2.2499999999999998E-3</v>
      </c>
      <c r="AD78">
        <v>-1.15E-3</v>
      </c>
      <c r="AE78">
        <v>-1.0300000000000001E-3</v>
      </c>
      <c r="AF78">
        <v>1.0499999999999999E-3</v>
      </c>
      <c r="AG78">
        <v>2.2000000000000001E-4</v>
      </c>
      <c r="AH78">
        <v>1.89E-3</v>
      </c>
      <c r="AI78">
        <v>5.2999999999999998E-4</v>
      </c>
    </row>
    <row r="79" spans="1:35" hidden="1" outlineLevel="1" x14ac:dyDescent="0.25">
      <c r="A79" s="1">
        <v>41453</v>
      </c>
      <c r="B79" s="8">
        <v>-1.8200000000000001E-2</v>
      </c>
      <c r="C79">
        <v>-9.7000000000000003E-3</v>
      </c>
      <c r="D79">
        <v>-1.4999301636062778E-2</v>
      </c>
      <c r="E79">
        <v>-6.3099999999999996E-3</v>
      </c>
      <c r="F79">
        <v>1.01E-3</v>
      </c>
      <c r="G79">
        <v>2.0799999999999998E-3</v>
      </c>
      <c r="H79">
        <v>-1.39E-3</v>
      </c>
      <c r="I79">
        <v>-4.1000000000000003E-3</v>
      </c>
      <c r="J79">
        <v>-2.2599999999999999E-3</v>
      </c>
      <c r="K79">
        <v>0</v>
      </c>
      <c r="L79">
        <v>-9.8999999999999999E-4</v>
      </c>
      <c r="M79">
        <v>1.2E-4</v>
      </c>
      <c r="N79" s="2">
        <v>8.0000000000000007E-5</v>
      </c>
      <c r="O79">
        <v>1.2999999999999999E-4</v>
      </c>
      <c r="P79">
        <v>2.3000000000000001E-4</v>
      </c>
      <c r="Q79">
        <v>-1.07E-3</v>
      </c>
      <c r="R79" s="2">
        <v>1.0000000000000001E-5</v>
      </c>
      <c r="S79">
        <v>0</v>
      </c>
      <c r="T79">
        <v>-2.9999999999999997E-4</v>
      </c>
      <c r="U79">
        <v>-5.8E-4</v>
      </c>
      <c r="V79">
        <v>4.4000000000000002E-4</v>
      </c>
      <c r="W79">
        <v>2.9E-4</v>
      </c>
      <c r="X79">
        <v>-6.7000000000000002E-4</v>
      </c>
      <c r="Y79">
        <v>-1.64E-3</v>
      </c>
      <c r="Z79">
        <v>4.6999999999999999E-4</v>
      </c>
      <c r="AA79">
        <v>0</v>
      </c>
      <c r="AB79">
        <v>0</v>
      </c>
      <c r="AC79">
        <v>-1.9599999999999999E-3</v>
      </c>
      <c r="AD79">
        <v>2.1000000000000001E-4</v>
      </c>
      <c r="AE79">
        <v>-8.4999999999999995E-4</v>
      </c>
      <c r="AF79">
        <v>1.17E-3</v>
      </c>
      <c r="AG79">
        <v>1.9000000000000001E-4</v>
      </c>
      <c r="AH79">
        <v>-2.4499999999999999E-3</v>
      </c>
      <c r="AI79" s="2">
        <v>-3.0000000000000001E-5</v>
      </c>
    </row>
    <row r="80" spans="1:35" hidden="1" outlineLevel="1" x14ac:dyDescent="0.25">
      <c r="A80" s="1">
        <v>41486</v>
      </c>
      <c r="B80" s="8">
        <v>4.2200000000000001E-2</v>
      </c>
      <c r="C80">
        <v>3.9899999999999998E-2</v>
      </c>
      <c r="D80">
        <v>4.9462079815224991E-2</v>
      </c>
      <c r="E80">
        <v>7.5300000000000002E-3</v>
      </c>
      <c r="F80">
        <v>2.7200000000000002E-3</v>
      </c>
      <c r="G80">
        <v>1.56E-3</v>
      </c>
      <c r="H80">
        <v>3.2599999999999999E-3</v>
      </c>
      <c r="I80">
        <v>5.4200000000000003E-3</v>
      </c>
      <c r="J80">
        <v>7.2000000000000005E-4</v>
      </c>
      <c r="K80">
        <v>0</v>
      </c>
      <c r="L80">
        <v>6.0499999999999998E-3</v>
      </c>
      <c r="M80">
        <v>3.6999999999999999E-4</v>
      </c>
      <c r="N80">
        <v>1.6100000000000001E-3</v>
      </c>
      <c r="O80">
        <v>2.5400000000000002E-3</v>
      </c>
      <c r="P80">
        <v>1.0200000000000001E-3</v>
      </c>
      <c r="Q80">
        <v>2.0400000000000001E-3</v>
      </c>
      <c r="R80">
        <v>0</v>
      </c>
      <c r="S80">
        <v>0</v>
      </c>
      <c r="T80">
        <v>2.6199999999999999E-3</v>
      </c>
      <c r="U80">
        <v>-4.4400000000000004E-3</v>
      </c>
      <c r="V80">
        <v>-1.6000000000000001E-4</v>
      </c>
      <c r="W80">
        <v>6.4599999999999996E-3</v>
      </c>
      <c r="X80">
        <v>6.4000000000000005E-4</v>
      </c>
      <c r="Y80">
        <v>-1.3999999999999999E-4</v>
      </c>
      <c r="Z80">
        <v>8.5999999999999998E-4</v>
      </c>
      <c r="AA80">
        <v>0</v>
      </c>
      <c r="AB80">
        <v>0</v>
      </c>
      <c r="AC80">
        <v>5.1999999999999995E-4</v>
      </c>
      <c r="AD80">
        <v>1.6000000000000001E-4</v>
      </c>
      <c r="AE80">
        <v>-2.1299999999999999E-3</v>
      </c>
      <c r="AF80">
        <v>2.63E-3</v>
      </c>
      <c r="AG80">
        <v>1E-4</v>
      </c>
      <c r="AH80">
        <v>-6.4999999999999997E-4</v>
      </c>
      <c r="AI80">
        <v>8.4999999999999995E-4</v>
      </c>
    </row>
    <row r="81" spans="1:35" hidden="1" outlineLevel="1" x14ac:dyDescent="0.25">
      <c r="A81" s="1">
        <v>41516</v>
      </c>
      <c r="B81" s="8">
        <v>-1.66E-2</v>
      </c>
      <c r="C81">
        <v>-2.47E-2</v>
      </c>
      <c r="D81">
        <v>-3.1298019033866864E-2</v>
      </c>
      <c r="E81">
        <v>4.4400000000000004E-3</v>
      </c>
      <c r="F81">
        <v>-2.16E-3</v>
      </c>
      <c r="G81">
        <v>-4.0000000000000002E-4</v>
      </c>
      <c r="H81">
        <v>-7.9000000000000001E-4</v>
      </c>
      <c r="I81">
        <v>-3.9199999999999999E-3</v>
      </c>
      <c r="J81">
        <v>-2.5999999999999998E-4</v>
      </c>
      <c r="K81">
        <v>0</v>
      </c>
      <c r="L81">
        <v>1.6100000000000001E-3</v>
      </c>
      <c r="M81">
        <v>-1.3999999999999999E-4</v>
      </c>
      <c r="N81">
        <v>-4.0099999999999997E-3</v>
      </c>
      <c r="O81">
        <v>-2.5200000000000001E-3</v>
      </c>
      <c r="P81">
        <v>-7.9000000000000001E-4</v>
      </c>
      <c r="Q81">
        <v>-3.0300000000000001E-3</v>
      </c>
      <c r="R81" s="2">
        <v>-6.9999999999999994E-5</v>
      </c>
      <c r="S81">
        <v>0</v>
      </c>
      <c r="T81">
        <v>-9.7000000000000005E-4</v>
      </c>
      <c r="U81">
        <v>3.1900000000000001E-3</v>
      </c>
      <c r="V81" s="2">
        <v>2.0000000000000002E-5</v>
      </c>
      <c r="W81">
        <v>5.1000000000000004E-4</v>
      </c>
      <c r="X81">
        <v>6.0999999999999997E-4</v>
      </c>
      <c r="Y81">
        <v>-6.4999999999999997E-4</v>
      </c>
      <c r="Z81">
        <v>-5.8E-4</v>
      </c>
      <c r="AA81">
        <v>0</v>
      </c>
      <c r="AB81">
        <v>0</v>
      </c>
      <c r="AC81">
        <v>-3.1800000000000001E-3</v>
      </c>
      <c r="AD81">
        <v>-7.1000000000000002E-4</v>
      </c>
      <c r="AE81">
        <v>-1.15E-3</v>
      </c>
      <c r="AF81">
        <v>-3.6000000000000002E-4</v>
      </c>
      <c r="AG81">
        <v>-1.9000000000000001E-4</v>
      </c>
      <c r="AH81">
        <v>3.4000000000000002E-4</v>
      </c>
      <c r="AI81">
        <v>-1.4300000000000001E-3</v>
      </c>
    </row>
    <row r="82" spans="1:35" hidden="1" outlineLevel="1" x14ac:dyDescent="0.25">
      <c r="A82" s="1">
        <v>41547</v>
      </c>
      <c r="B82" s="8">
        <v>4.1000000000000002E-2</v>
      </c>
      <c r="C82">
        <v>3.4500000000000003E-2</v>
      </c>
      <c r="D82">
        <v>2.9749523177239112E-2</v>
      </c>
      <c r="E82">
        <v>-1.14E-3</v>
      </c>
      <c r="F82">
        <v>3.62E-3</v>
      </c>
      <c r="G82">
        <v>7.8700000000000003E-3</v>
      </c>
      <c r="H82">
        <v>-5.2999999999999998E-4</v>
      </c>
      <c r="I82">
        <v>2.1900000000000001E-3</v>
      </c>
      <c r="J82">
        <v>6.0999999999999997E-4</v>
      </c>
      <c r="K82">
        <v>0</v>
      </c>
      <c r="L82">
        <v>3.5100000000000001E-3</v>
      </c>
      <c r="M82">
        <v>6.8000000000000005E-4</v>
      </c>
      <c r="N82">
        <v>4.0899999999999999E-3</v>
      </c>
      <c r="O82">
        <v>2.0300000000000001E-3</v>
      </c>
      <c r="P82" s="2">
        <v>4.0000000000000003E-5</v>
      </c>
      <c r="Q82">
        <v>7.5000000000000002E-4</v>
      </c>
      <c r="R82">
        <v>0</v>
      </c>
      <c r="S82">
        <v>0</v>
      </c>
      <c r="T82">
        <v>1.82E-3</v>
      </c>
      <c r="U82">
        <v>-2.0000000000000001E-4</v>
      </c>
      <c r="V82">
        <v>2.1099999999999999E-3</v>
      </c>
      <c r="W82">
        <v>1.8699999999999999E-3</v>
      </c>
      <c r="X82">
        <v>1.24E-3</v>
      </c>
      <c r="Y82">
        <v>4.64E-3</v>
      </c>
      <c r="Z82">
        <v>2.9999999999999997E-4</v>
      </c>
      <c r="AA82">
        <v>0</v>
      </c>
      <c r="AB82">
        <v>0</v>
      </c>
      <c r="AC82">
        <v>6.8000000000000005E-4</v>
      </c>
      <c r="AD82" s="2">
        <v>-1.0000000000000001E-5</v>
      </c>
      <c r="AE82">
        <v>1.1299999999999999E-3</v>
      </c>
      <c r="AF82" s="2">
        <v>5.0000000000000002E-5</v>
      </c>
      <c r="AG82">
        <v>1.8600000000000001E-3</v>
      </c>
      <c r="AH82">
        <v>2.1299999999999999E-3</v>
      </c>
      <c r="AI82">
        <v>-2.9E-4</v>
      </c>
    </row>
    <row r="83" spans="1:35" hidden="1" outlineLevel="1" x14ac:dyDescent="0.25">
      <c r="A83" s="1">
        <v>41578</v>
      </c>
      <c r="B83" s="8">
        <v>6.4699999999999994E-2</v>
      </c>
      <c r="C83">
        <v>5.5500000000000001E-2</v>
      </c>
      <c r="D83">
        <v>4.4595752618006079E-2</v>
      </c>
      <c r="E83">
        <v>5.1399999999999996E-3</v>
      </c>
      <c r="F83">
        <v>5.28E-3</v>
      </c>
      <c r="G83">
        <v>6.6600000000000001E-3</v>
      </c>
      <c r="H83">
        <v>2.9999999999999997E-4</v>
      </c>
      <c r="I83">
        <v>6.1799999999999997E-3</v>
      </c>
      <c r="J83">
        <v>3.8999999999999999E-4</v>
      </c>
      <c r="K83">
        <v>0</v>
      </c>
      <c r="L83">
        <v>4.7000000000000002E-3</v>
      </c>
      <c r="M83">
        <v>1.7000000000000001E-4</v>
      </c>
      <c r="N83">
        <v>4.3200000000000001E-3</v>
      </c>
      <c r="O83">
        <v>4.7000000000000002E-3</v>
      </c>
      <c r="P83">
        <v>7.9000000000000001E-4</v>
      </c>
      <c r="Q83">
        <v>1.3999999999999999E-4</v>
      </c>
      <c r="R83" s="2">
        <v>6.0000000000000002E-5</v>
      </c>
      <c r="S83">
        <v>0</v>
      </c>
      <c r="T83">
        <v>1.91E-3</v>
      </c>
      <c r="U83">
        <v>3.62E-3</v>
      </c>
      <c r="V83">
        <v>5.8E-4</v>
      </c>
      <c r="W83">
        <v>7.43E-3</v>
      </c>
      <c r="X83">
        <v>-5.4000000000000001E-4</v>
      </c>
      <c r="Y83">
        <v>1.8600000000000001E-3</v>
      </c>
      <c r="Z83">
        <v>1.1299999999999999E-3</v>
      </c>
      <c r="AA83">
        <v>0</v>
      </c>
      <c r="AB83">
        <v>0</v>
      </c>
      <c r="AC83">
        <v>1.6299999999999999E-3</v>
      </c>
      <c r="AD83">
        <v>1.4599999999999999E-3</v>
      </c>
      <c r="AE83">
        <v>3.98E-3</v>
      </c>
      <c r="AF83">
        <v>-1.09E-3</v>
      </c>
      <c r="AG83">
        <v>2.0699999999999998E-3</v>
      </c>
      <c r="AH83">
        <v>8.4999999999999995E-4</v>
      </c>
      <c r="AI83">
        <v>9.3999999999999997E-4</v>
      </c>
    </row>
    <row r="84" spans="1:35" hidden="1" outlineLevel="1" x14ac:dyDescent="0.25">
      <c r="A84" s="1">
        <v>41607</v>
      </c>
      <c r="B84" s="8">
        <v>3.39E-2</v>
      </c>
      <c r="C84">
        <v>3.5499999999999997E-2</v>
      </c>
      <c r="D84">
        <v>2.8049471635186451E-2</v>
      </c>
      <c r="E84">
        <v>3.7100000000000002E-3</v>
      </c>
      <c r="F84">
        <v>2.6099999999999999E-3</v>
      </c>
      <c r="G84">
        <v>1.9499999999999999E-3</v>
      </c>
      <c r="H84">
        <v>3.1900000000000001E-3</v>
      </c>
      <c r="I84">
        <v>6.7000000000000002E-4</v>
      </c>
      <c r="J84">
        <v>8.7000000000000001E-4</v>
      </c>
      <c r="K84">
        <v>0</v>
      </c>
      <c r="L84">
        <v>-5.1999999999999995E-4</v>
      </c>
      <c r="M84">
        <v>1.4999999999999999E-4</v>
      </c>
      <c r="N84">
        <v>1.9300000000000001E-3</v>
      </c>
      <c r="O84">
        <v>9.8999999999999999E-4</v>
      </c>
      <c r="P84">
        <v>3.4000000000000002E-4</v>
      </c>
      <c r="Q84">
        <v>3.5799999999999998E-3</v>
      </c>
      <c r="R84" s="2">
        <v>3.0000000000000001E-5</v>
      </c>
      <c r="S84">
        <v>0</v>
      </c>
      <c r="T84">
        <v>2.33E-3</v>
      </c>
      <c r="U84">
        <v>4.81E-3</v>
      </c>
      <c r="V84">
        <v>5.9999999999999995E-4</v>
      </c>
      <c r="W84">
        <v>3.1099999999999999E-3</v>
      </c>
      <c r="X84">
        <v>7.3999999999999999E-4</v>
      </c>
      <c r="Y84">
        <v>-8.0000000000000004E-4</v>
      </c>
      <c r="Z84">
        <v>6.8999999999999997E-4</v>
      </c>
      <c r="AA84">
        <v>0</v>
      </c>
      <c r="AB84">
        <v>0</v>
      </c>
      <c r="AC84">
        <v>-8.7000000000000001E-4</v>
      </c>
      <c r="AD84">
        <v>-4.8000000000000001E-4</v>
      </c>
      <c r="AE84">
        <v>-1.72E-3</v>
      </c>
      <c r="AF84">
        <v>2.1299999999999999E-3</v>
      </c>
      <c r="AG84">
        <v>1.33E-3</v>
      </c>
      <c r="AH84">
        <v>1.34E-3</v>
      </c>
      <c r="AI84">
        <v>1.1299999999999999E-3</v>
      </c>
    </row>
    <row r="85" spans="1:35" hidden="1" outlineLevel="1" x14ac:dyDescent="0.25">
      <c r="A85" s="1">
        <v>41639</v>
      </c>
      <c r="B85" s="8">
        <v>2.24E-2</v>
      </c>
      <c r="C85">
        <v>1.54E-2</v>
      </c>
      <c r="D85">
        <v>2.356279155049279E-2</v>
      </c>
      <c r="E85">
        <v>4.6999999999999999E-4</v>
      </c>
      <c r="F85">
        <v>4.2000000000000002E-4</v>
      </c>
      <c r="G85">
        <v>1E-3</v>
      </c>
      <c r="H85">
        <v>-3.6999999999999999E-4</v>
      </c>
      <c r="I85">
        <v>2.5100000000000001E-3</v>
      </c>
      <c r="J85">
        <v>4.2900000000000004E-3</v>
      </c>
      <c r="K85">
        <v>0</v>
      </c>
      <c r="L85">
        <v>-2.14E-3</v>
      </c>
      <c r="M85" s="2">
        <v>4.0000000000000003E-5</v>
      </c>
      <c r="N85">
        <v>6.4700000000000001E-3</v>
      </c>
      <c r="O85">
        <v>2.98E-3</v>
      </c>
      <c r="P85">
        <v>-3.6999999999999999E-4</v>
      </c>
      <c r="Q85">
        <v>7.2000000000000005E-4</v>
      </c>
      <c r="R85" s="2">
        <v>4.0000000000000003E-5</v>
      </c>
      <c r="S85">
        <v>0</v>
      </c>
      <c r="T85">
        <v>1.7899999999999999E-3</v>
      </c>
      <c r="U85">
        <v>-1.07E-3</v>
      </c>
      <c r="V85" s="2">
        <v>-4.0000000000000003E-5</v>
      </c>
      <c r="W85">
        <v>9.8999999999999999E-4</v>
      </c>
      <c r="X85">
        <v>6.0999999999999997E-4</v>
      </c>
      <c r="Y85">
        <v>5.5999999999999995E-4</v>
      </c>
      <c r="Z85">
        <v>-5.6999999999999998E-4</v>
      </c>
      <c r="AA85">
        <v>0</v>
      </c>
      <c r="AB85">
        <v>0</v>
      </c>
      <c r="AC85">
        <v>5.9000000000000003E-4</v>
      </c>
      <c r="AD85" s="2">
        <v>-2.0000000000000002E-5</v>
      </c>
      <c r="AE85">
        <v>-7.6000000000000004E-4</v>
      </c>
      <c r="AF85">
        <v>3.5E-4</v>
      </c>
      <c r="AG85">
        <v>7.2999999999999996E-4</v>
      </c>
      <c r="AH85">
        <v>1.3699999999999999E-3</v>
      </c>
      <c r="AI85">
        <v>1.8600000000000001E-3</v>
      </c>
    </row>
    <row r="86" spans="1:35" hidden="1" outlineLevel="1" x14ac:dyDescent="0.25">
      <c r="A86" s="1">
        <v>41670</v>
      </c>
      <c r="B86" s="8">
        <v>-3.9899999999999998E-2</v>
      </c>
      <c r="C86">
        <v>-3.7999999999999999E-2</v>
      </c>
      <c r="D86">
        <v>-3.5582905675162646E-2</v>
      </c>
      <c r="E86">
        <v>-6.8000000000000005E-4</v>
      </c>
      <c r="F86">
        <v>-9.7000000000000005E-4</v>
      </c>
      <c r="G86">
        <v>-4.4299999999999999E-3</v>
      </c>
      <c r="H86">
        <v>3.2399999999999998E-3</v>
      </c>
      <c r="I86">
        <v>-4.3699999999999998E-3</v>
      </c>
      <c r="J86">
        <v>3.1800000000000001E-3</v>
      </c>
      <c r="K86">
        <v>0</v>
      </c>
      <c r="L86">
        <v>-5.2399999999999999E-3</v>
      </c>
      <c r="M86">
        <v>0</v>
      </c>
      <c r="N86">
        <v>-4.7200000000000002E-3</v>
      </c>
      <c r="O86">
        <v>-8.8100000000000001E-3</v>
      </c>
      <c r="P86">
        <v>0</v>
      </c>
      <c r="Q86">
        <v>-3.7599999999999999E-3</v>
      </c>
      <c r="R86">
        <v>0</v>
      </c>
      <c r="S86">
        <v>0</v>
      </c>
      <c r="T86">
        <v>-5.9699999999999996E-3</v>
      </c>
      <c r="U86">
        <v>3.8000000000000002E-4</v>
      </c>
      <c r="V86">
        <v>-1.74E-3</v>
      </c>
      <c r="W86">
        <v>4.6000000000000001E-4</v>
      </c>
      <c r="X86">
        <v>-4.8000000000000001E-4</v>
      </c>
      <c r="Y86">
        <v>-5.6299999999999996E-3</v>
      </c>
      <c r="Z86">
        <v>-1.1E-4</v>
      </c>
      <c r="AA86">
        <v>0</v>
      </c>
      <c r="AB86">
        <v>0</v>
      </c>
      <c r="AC86">
        <v>5.8E-4</v>
      </c>
      <c r="AD86">
        <v>0</v>
      </c>
      <c r="AE86">
        <v>-6.8999999999999997E-4</v>
      </c>
      <c r="AF86">
        <v>0</v>
      </c>
      <c r="AG86">
        <v>-1.39E-3</v>
      </c>
      <c r="AH86">
        <v>1.34E-3</v>
      </c>
      <c r="AI86" s="2">
        <v>-6.0000000000000002E-5</v>
      </c>
    </row>
    <row r="87" spans="1:35" hidden="1" outlineLevel="1" x14ac:dyDescent="0.25">
      <c r="A87" s="1">
        <v>41698</v>
      </c>
      <c r="B87" s="8">
        <v>5.1400000000000001E-2</v>
      </c>
      <c r="C87">
        <v>4.4600000000000001E-2</v>
      </c>
      <c r="D87">
        <v>4.3117029976595278E-2</v>
      </c>
      <c r="E87">
        <v>3.6000000000000002E-4</v>
      </c>
      <c r="F87" s="2">
        <v>9.0000000000000006E-5</v>
      </c>
      <c r="G87">
        <v>1.89E-3</v>
      </c>
      <c r="H87">
        <v>-5.5999999999999995E-4</v>
      </c>
      <c r="I87">
        <v>1.2600000000000001E-3</v>
      </c>
      <c r="J87">
        <v>2.5400000000000002E-3</v>
      </c>
      <c r="K87">
        <v>0</v>
      </c>
      <c r="L87">
        <v>2.2399999999999998E-3</v>
      </c>
      <c r="M87">
        <v>0</v>
      </c>
      <c r="N87">
        <v>1.0749999999999999E-2</v>
      </c>
      <c r="O87">
        <v>1.9E-3</v>
      </c>
      <c r="P87">
        <v>0</v>
      </c>
      <c r="Q87">
        <v>2.1199999999999999E-3</v>
      </c>
      <c r="R87">
        <v>0</v>
      </c>
      <c r="S87">
        <v>0</v>
      </c>
      <c r="T87">
        <v>4.0000000000000001E-3</v>
      </c>
      <c r="U87">
        <v>6.6E-4</v>
      </c>
      <c r="V87">
        <v>1.8500000000000001E-3</v>
      </c>
      <c r="W87">
        <v>2.97E-3</v>
      </c>
      <c r="X87">
        <v>4.2300000000000003E-3</v>
      </c>
      <c r="Y87">
        <v>7.2700000000000004E-3</v>
      </c>
      <c r="Z87">
        <v>9.1E-4</v>
      </c>
      <c r="AA87">
        <v>0</v>
      </c>
      <c r="AB87">
        <v>0</v>
      </c>
      <c r="AC87">
        <v>1.6299999999999999E-3</v>
      </c>
      <c r="AD87">
        <v>0</v>
      </c>
      <c r="AE87">
        <v>1.56E-3</v>
      </c>
      <c r="AF87">
        <v>0</v>
      </c>
      <c r="AG87">
        <v>1.9000000000000001E-4</v>
      </c>
      <c r="AH87">
        <v>3.49E-3</v>
      </c>
      <c r="AI87" s="2">
        <v>4.0000000000000003E-5</v>
      </c>
    </row>
    <row r="88" spans="1:35" hidden="1" outlineLevel="1" x14ac:dyDescent="0.25">
      <c r="A88" s="1">
        <v>41729</v>
      </c>
      <c r="B88" s="8">
        <v>1.89E-2</v>
      </c>
      <c r="C88">
        <v>2.2599999999999999E-2</v>
      </c>
      <c r="D88">
        <v>6.9321656079357474E-3</v>
      </c>
      <c r="E88">
        <v>1.2999999999999999E-4</v>
      </c>
      <c r="F88">
        <v>-6.8000000000000005E-4</v>
      </c>
      <c r="G88">
        <v>-1.4300000000000001E-3</v>
      </c>
      <c r="H88">
        <v>1.7600000000000001E-3</v>
      </c>
      <c r="I88">
        <v>3.2799999999999999E-3</v>
      </c>
      <c r="J88">
        <v>1.9300000000000001E-3</v>
      </c>
      <c r="K88">
        <v>0</v>
      </c>
      <c r="L88">
        <v>3.7599999999999999E-3</v>
      </c>
      <c r="M88">
        <v>0</v>
      </c>
      <c r="N88">
        <v>-8.7000000000000001E-4</v>
      </c>
      <c r="O88">
        <v>1.4E-3</v>
      </c>
      <c r="P88">
        <v>0</v>
      </c>
      <c r="Q88">
        <v>5.4900000000000001E-3</v>
      </c>
      <c r="R88">
        <v>0</v>
      </c>
      <c r="S88">
        <v>0</v>
      </c>
      <c r="T88">
        <v>4.8000000000000001E-4</v>
      </c>
      <c r="U88">
        <v>2.32E-3</v>
      </c>
      <c r="V88">
        <v>-1.34E-3</v>
      </c>
      <c r="W88">
        <v>1.1000000000000001E-3</v>
      </c>
      <c r="X88">
        <v>-6.0999999999999997E-4</v>
      </c>
      <c r="Y88">
        <v>-3.8000000000000002E-4</v>
      </c>
      <c r="Z88">
        <v>0</v>
      </c>
      <c r="AA88">
        <v>0</v>
      </c>
      <c r="AB88">
        <v>0</v>
      </c>
      <c r="AC88">
        <v>5.5000000000000003E-4</v>
      </c>
      <c r="AD88">
        <v>0</v>
      </c>
      <c r="AE88">
        <v>2.48E-3</v>
      </c>
      <c r="AF88">
        <v>0</v>
      </c>
      <c r="AG88">
        <v>2.5000000000000001E-4</v>
      </c>
      <c r="AH88">
        <v>-7.5000000000000002E-4</v>
      </c>
      <c r="AI88" s="2">
        <v>1.0000000000000001E-5</v>
      </c>
    </row>
    <row r="89" spans="1:35" hidden="1" outlineLevel="1" x14ac:dyDescent="0.25">
      <c r="A89" s="1">
        <v>41759</v>
      </c>
      <c r="B89" s="8">
        <v>-1E-4</v>
      </c>
      <c r="C89">
        <v>7.7999999999999996E-3</v>
      </c>
      <c r="D89">
        <v>6.2007889650528281E-3</v>
      </c>
      <c r="E89">
        <v>6.3000000000000003E-4</v>
      </c>
      <c r="F89">
        <v>-9.2000000000000003E-4</v>
      </c>
      <c r="G89">
        <v>1.5100000000000001E-3</v>
      </c>
      <c r="H89">
        <v>-5.13E-3</v>
      </c>
      <c r="I89">
        <v>-3.7100000000000002E-3</v>
      </c>
      <c r="J89">
        <v>5.1999999999999998E-3</v>
      </c>
      <c r="K89">
        <v>0</v>
      </c>
      <c r="L89">
        <v>3.6600000000000001E-3</v>
      </c>
      <c r="M89">
        <v>0</v>
      </c>
      <c r="N89">
        <v>-8.7000000000000001E-4</v>
      </c>
      <c r="O89">
        <v>3.29E-3</v>
      </c>
      <c r="P89">
        <v>0</v>
      </c>
      <c r="Q89">
        <v>-5.7499999999999999E-3</v>
      </c>
      <c r="R89">
        <v>0</v>
      </c>
      <c r="S89">
        <v>0</v>
      </c>
      <c r="T89">
        <v>1.75E-3</v>
      </c>
      <c r="U89">
        <v>-4.8000000000000001E-4</v>
      </c>
      <c r="V89">
        <v>-2.9E-4</v>
      </c>
      <c r="W89">
        <v>-8.4999999999999995E-4</v>
      </c>
      <c r="X89">
        <v>7.5000000000000002E-4</v>
      </c>
      <c r="Y89">
        <v>3.4000000000000002E-4</v>
      </c>
      <c r="Z89">
        <v>-3.6999999999999999E-4</v>
      </c>
      <c r="AA89">
        <v>0</v>
      </c>
      <c r="AB89">
        <v>0</v>
      </c>
      <c r="AC89">
        <v>1.83E-3</v>
      </c>
      <c r="AD89">
        <v>0</v>
      </c>
      <c r="AE89" s="2">
        <v>9.0000000000000006E-5</v>
      </c>
      <c r="AF89">
        <v>0</v>
      </c>
      <c r="AG89">
        <v>1.7000000000000001E-4</v>
      </c>
      <c r="AH89">
        <v>-1E-3</v>
      </c>
      <c r="AI89" s="2">
        <v>3.0000000000000001E-5</v>
      </c>
    </row>
    <row r="90" spans="1:35" hidden="1" outlineLevel="1" x14ac:dyDescent="0.25">
      <c r="A90" s="1">
        <v>41789</v>
      </c>
      <c r="B90" s="8">
        <v>2.0799999999999999E-2</v>
      </c>
      <c r="C90">
        <v>1.49E-2</v>
      </c>
      <c r="D90">
        <v>2.1030280012996005E-2</v>
      </c>
      <c r="E90">
        <v>4.8999999999999998E-4</v>
      </c>
      <c r="F90">
        <v>2.7E-4</v>
      </c>
      <c r="G90">
        <v>2.8999999999999998E-3</v>
      </c>
      <c r="H90">
        <v>0</v>
      </c>
      <c r="I90">
        <v>1.1199999999999999E-3</v>
      </c>
      <c r="J90">
        <v>-2.3500000000000001E-3</v>
      </c>
      <c r="K90">
        <v>0</v>
      </c>
      <c r="L90">
        <v>5.5300000000000002E-3</v>
      </c>
      <c r="M90">
        <v>0</v>
      </c>
      <c r="N90">
        <v>5.5999999999999999E-3</v>
      </c>
      <c r="O90">
        <v>-3.2000000000000003E-4</v>
      </c>
      <c r="P90">
        <v>0</v>
      </c>
      <c r="Q90">
        <v>-5.9000000000000003E-4</v>
      </c>
      <c r="R90">
        <v>0</v>
      </c>
      <c r="S90">
        <v>0</v>
      </c>
      <c r="T90">
        <v>2.15E-3</v>
      </c>
      <c r="U90">
        <v>6.7000000000000002E-4</v>
      </c>
      <c r="V90">
        <v>1.3600000000000001E-3</v>
      </c>
      <c r="W90">
        <v>3.4000000000000002E-4</v>
      </c>
      <c r="X90">
        <v>8.0000000000000004E-4</v>
      </c>
      <c r="Y90">
        <v>2.9299999999999999E-3</v>
      </c>
      <c r="Z90">
        <v>-6.2E-4</v>
      </c>
      <c r="AA90">
        <v>0</v>
      </c>
      <c r="AB90">
        <v>0</v>
      </c>
      <c r="AC90">
        <v>9.3000000000000005E-4</v>
      </c>
      <c r="AD90">
        <v>0</v>
      </c>
      <c r="AE90">
        <v>5.2999999999999998E-4</v>
      </c>
      <c r="AF90">
        <v>0</v>
      </c>
      <c r="AG90">
        <v>9.1E-4</v>
      </c>
      <c r="AH90">
        <v>-1.8799999999999999E-3</v>
      </c>
      <c r="AI90" s="2">
        <v>-1.0000000000000001E-5</v>
      </c>
    </row>
    <row r="91" spans="1:35" hidden="1" outlineLevel="1" x14ac:dyDescent="0.25">
      <c r="A91" s="1">
        <v>41820</v>
      </c>
      <c r="B91" s="8">
        <v>2.1000000000000001E-2</v>
      </c>
      <c r="C91">
        <v>1.6199999999999999E-2</v>
      </c>
      <c r="D91">
        <v>1.9058331658920569E-2</v>
      </c>
      <c r="E91">
        <v>1.7000000000000001E-4</v>
      </c>
      <c r="F91">
        <v>3.8000000000000002E-4</v>
      </c>
      <c r="G91">
        <v>-3.1900000000000001E-3</v>
      </c>
      <c r="H91">
        <v>6.8000000000000005E-4</v>
      </c>
      <c r="I91">
        <v>4.7200000000000002E-3</v>
      </c>
      <c r="J91">
        <v>4.9100000000000003E-3</v>
      </c>
      <c r="K91">
        <v>0</v>
      </c>
      <c r="L91">
        <v>4.7099999999999998E-3</v>
      </c>
      <c r="M91">
        <v>0</v>
      </c>
      <c r="N91">
        <v>1.9599999999999999E-3</v>
      </c>
      <c r="O91">
        <v>-9.2000000000000003E-4</v>
      </c>
      <c r="P91">
        <v>0</v>
      </c>
      <c r="Q91">
        <v>2.96E-3</v>
      </c>
      <c r="R91">
        <v>0</v>
      </c>
      <c r="S91">
        <v>0</v>
      </c>
      <c r="T91">
        <v>3.4000000000000002E-4</v>
      </c>
      <c r="U91">
        <v>6.0999999999999997E-4</v>
      </c>
      <c r="V91">
        <v>2.0000000000000001E-4</v>
      </c>
      <c r="W91">
        <v>-8.8999999999999995E-4</v>
      </c>
      <c r="X91">
        <v>-5.8E-4</v>
      </c>
      <c r="Y91">
        <v>2.6099999999999999E-3</v>
      </c>
      <c r="Z91" s="2">
        <v>2.0000000000000002E-5</v>
      </c>
      <c r="AA91">
        <v>0</v>
      </c>
      <c r="AB91">
        <v>0</v>
      </c>
      <c r="AC91" s="2">
        <v>-4.0000000000000003E-5</v>
      </c>
      <c r="AD91">
        <v>0</v>
      </c>
      <c r="AE91">
        <v>9.3000000000000005E-4</v>
      </c>
      <c r="AF91">
        <v>0</v>
      </c>
      <c r="AG91">
        <v>-1.7000000000000001E-4</v>
      </c>
      <c r="AH91">
        <v>1.57E-3</v>
      </c>
      <c r="AI91">
        <v>0</v>
      </c>
    </row>
    <row r="92" spans="1:35" hidden="1" outlineLevel="1" x14ac:dyDescent="0.25">
      <c r="A92" s="1">
        <v>41851</v>
      </c>
      <c r="B92" s="8">
        <v>-2.2599999999999999E-2</v>
      </c>
      <c r="C92">
        <v>-2.4799999999999999E-2</v>
      </c>
      <c r="D92">
        <v>-1.5079830581919862E-2</v>
      </c>
      <c r="E92">
        <v>1.8000000000000001E-4</v>
      </c>
      <c r="F92">
        <v>-3.5E-4</v>
      </c>
      <c r="G92">
        <v>-2.8500000000000001E-3</v>
      </c>
      <c r="H92">
        <v>-3.3E-4</v>
      </c>
      <c r="I92">
        <v>-4.0200000000000001E-3</v>
      </c>
      <c r="J92">
        <v>-5.1799999999999997E-3</v>
      </c>
      <c r="K92">
        <v>0</v>
      </c>
      <c r="L92">
        <v>-1.9E-3</v>
      </c>
      <c r="M92">
        <v>0</v>
      </c>
      <c r="N92">
        <v>1.6000000000000001E-4</v>
      </c>
      <c r="O92">
        <v>-3.6600000000000001E-3</v>
      </c>
      <c r="P92">
        <v>0</v>
      </c>
      <c r="Q92">
        <v>6.3000000000000003E-4</v>
      </c>
      <c r="R92">
        <v>0</v>
      </c>
      <c r="S92">
        <v>0</v>
      </c>
      <c r="T92">
        <v>-1.14E-3</v>
      </c>
      <c r="U92">
        <v>1.16E-3</v>
      </c>
      <c r="V92">
        <v>-1.2999999999999999E-4</v>
      </c>
      <c r="W92">
        <v>1.72E-3</v>
      </c>
      <c r="X92">
        <v>-1.3500000000000001E-3</v>
      </c>
      <c r="Y92">
        <v>-3.4099999999999998E-3</v>
      </c>
      <c r="Z92">
        <v>-3.4000000000000002E-4</v>
      </c>
      <c r="AA92">
        <v>0</v>
      </c>
      <c r="AB92">
        <v>0</v>
      </c>
      <c r="AC92">
        <v>3.8000000000000002E-4</v>
      </c>
      <c r="AD92">
        <v>0</v>
      </c>
      <c r="AE92">
        <v>-9.6000000000000002E-4</v>
      </c>
      <c r="AF92">
        <v>0</v>
      </c>
      <c r="AG92">
        <v>-8.0000000000000004E-4</v>
      </c>
      <c r="AH92">
        <v>-3.4000000000000002E-4</v>
      </c>
      <c r="AI92" s="2">
        <v>-1.0000000000000001E-5</v>
      </c>
    </row>
    <row r="93" spans="1:35" hidden="1" outlineLevel="1" x14ac:dyDescent="0.25">
      <c r="A93" s="1">
        <v>41880</v>
      </c>
      <c r="B93" s="8">
        <v>4.5900000000000003E-2</v>
      </c>
      <c r="C93">
        <v>4.2200000000000001E-2</v>
      </c>
      <c r="D93">
        <v>3.7655295489735119E-2</v>
      </c>
      <c r="E93">
        <v>4.8999999999999998E-4</v>
      </c>
      <c r="F93">
        <v>8.0000000000000004E-4</v>
      </c>
      <c r="G93">
        <v>3.15E-3</v>
      </c>
      <c r="H93">
        <v>2.3600000000000001E-3</v>
      </c>
      <c r="I93">
        <v>7.8700000000000003E-3</v>
      </c>
      <c r="J93">
        <v>6.4400000000000004E-3</v>
      </c>
      <c r="K93">
        <v>0</v>
      </c>
      <c r="L93">
        <v>-1.01E-3</v>
      </c>
      <c r="M93">
        <v>0</v>
      </c>
      <c r="N93">
        <v>4.4299999999999999E-3</v>
      </c>
      <c r="O93">
        <v>2.81E-3</v>
      </c>
      <c r="P93">
        <v>0</v>
      </c>
      <c r="Q93">
        <v>2.48E-3</v>
      </c>
      <c r="R93">
        <v>0</v>
      </c>
      <c r="S93">
        <v>0</v>
      </c>
      <c r="T93">
        <v>1.9499999999999999E-3</v>
      </c>
      <c r="U93">
        <v>1.9599999999999999E-3</v>
      </c>
      <c r="V93">
        <v>5.1000000000000004E-4</v>
      </c>
      <c r="W93">
        <v>2.1299999999999999E-3</v>
      </c>
      <c r="X93">
        <v>2.7899999999999999E-3</v>
      </c>
      <c r="Y93">
        <v>4.3800000000000002E-3</v>
      </c>
      <c r="Z93">
        <v>3.4000000000000002E-4</v>
      </c>
      <c r="AA93">
        <v>0</v>
      </c>
      <c r="AB93">
        <v>0</v>
      </c>
      <c r="AC93">
        <v>6.0999999999999997E-4</v>
      </c>
      <c r="AD93">
        <v>0</v>
      </c>
      <c r="AE93">
        <v>1.08E-3</v>
      </c>
      <c r="AF93">
        <v>0</v>
      </c>
      <c r="AG93">
        <v>1.3999999999999999E-4</v>
      </c>
      <c r="AH93">
        <v>1.7000000000000001E-4</v>
      </c>
      <c r="AI93" s="2">
        <v>1.0000000000000001E-5</v>
      </c>
    </row>
    <row r="94" spans="1:35" hidden="1" outlineLevel="1" x14ac:dyDescent="0.25">
      <c r="A94" s="1">
        <v>41912</v>
      </c>
      <c r="B94" s="8">
        <v>-1.4E-2</v>
      </c>
      <c r="C94">
        <v>-6.4000000000000003E-3</v>
      </c>
      <c r="D94">
        <v>-1.5513837223063764E-2</v>
      </c>
      <c r="E94">
        <v>-1.1E-4</v>
      </c>
      <c r="F94">
        <v>-4.6999999999999999E-4</v>
      </c>
      <c r="G94">
        <v>2.5000000000000001E-4</v>
      </c>
      <c r="H94">
        <v>2.6900000000000001E-3</v>
      </c>
      <c r="I94">
        <v>-5.8E-4</v>
      </c>
      <c r="J94">
        <v>-7.1799999999999998E-3</v>
      </c>
      <c r="K94">
        <v>0</v>
      </c>
      <c r="L94">
        <v>-3.7599999999999999E-3</v>
      </c>
      <c r="M94">
        <v>0</v>
      </c>
      <c r="N94">
        <v>-8.9999999999999998E-4</v>
      </c>
      <c r="O94">
        <v>-4.6000000000000001E-4</v>
      </c>
      <c r="P94">
        <v>0</v>
      </c>
      <c r="Q94">
        <v>1.07E-3</v>
      </c>
      <c r="R94">
        <v>0</v>
      </c>
      <c r="S94">
        <v>0</v>
      </c>
      <c r="T94">
        <v>-1.1199999999999999E-3</v>
      </c>
      <c r="U94">
        <v>6.8000000000000005E-4</v>
      </c>
      <c r="V94">
        <v>3.2100000000000002E-3</v>
      </c>
      <c r="W94">
        <v>2.0100000000000001E-3</v>
      </c>
      <c r="X94">
        <v>-1.23E-3</v>
      </c>
      <c r="Y94">
        <v>-4.7000000000000002E-3</v>
      </c>
      <c r="Z94" s="2">
        <v>9.0000000000000006E-5</v>
      </c>
      <c r="AA94">
        <v>0</v>
      </c>
      <c r="AB94">
        <v>0</v>
      </c>
      <c r="AC94">
        <v>-1.08E-3</v>
      </c>
      <c r="AD94">
        <v>0</v>
      </c>
      <c r="AE94">
        <v>-8.3000000000000001E-4</v>
      </c>
      <c r="AF94">
        <v>0</v>
      </c>
      <c r="AG94">
        <v>1.4999999999999999E-4</v>
      </c>
      <c r="AH94">
        <v>-1.7099999999999999E-3</v>
      </c>
      <c r="AI94" s="2">
        <v>-4.0000000000000003E-5</v>
      </c>
    </row>
    <row r="95" spans="1:35" hidden="1" outlineLevel="1" x14ac:dyDescent="0.25">
      <c r="A95" s="1">
        <v>41943</v>
      </c>
      <c r="B95" s="8">
        <v>1.9E-2</v>
      </c>
      <c r="C95">
        <v>2.6800000000000001E-2</v>
      </c>
      <c r="D95">
        <v>2.3201460786772321E-2</v>
      </c>
      <c r="E95">
        <v>4.4999999999999999E-4</v>
      </c>
      <c r="F95">
        <v>-5.1000000000000004E-4</v>
      </c>
      <c r="G95">
        <v>-1.0399999999999999E-3</v>
      </c>
      <c r="H95">
        <v>2.7999999999999998E-4</v>
      </c>
      <c r="I95">
        <v>3.3700000000000002E-3</v>
      </c>
      <c r="J95">
        <v>2.4299999999999999E-3</v>
      </c>
      <c r="K95">
        <v>0</v>
      </c>
      <c r="L95">
        <v>-3.0899999999999999E-3</v>
      </c>
      <c r="M95">
        <v>0</v>
      </c>
      <c r="N95">
        <v>2.5100000000000001E-3</v>
      </c>
      <c r="O95">
        <v>6.3000000000000003E-4</v>
      </c>
      <c r="P95">
        <v>0</v>
      </c>
      <c r="Q95">
        <v>8.4999999999999995E-4</v>
      </c>
      <c r="R95">
        <v>0</v>
      </c>
      <c r="S95">
        <v>0</v>
      </c>
      <c r="T95">
        <v>5.9199999999999999E-3</v>
      </c>
      <c r="U95">
        <v>4.2000000000000002E-4</v>
      </c>
      <c r="V95">
        <v>1E-3</v>
      </c>
      <c r="W95">
        <v>2.65E-3</v>
      </c>
      <c r="X95">
        <v>1.42E-3</v>
      </c>
      <c r="Y95">
        <v>-5.3400000000000001E-3</v>
      </c>
      <c r="Z95">
        <v>1.8000000000000001E-4</v>
      </c>
      <c r="AA95">
        <v>0</v>
      </c>
      <c r="AB95">
        <v>0</v>
      </c>
      <c r="AC95">
        <v>2.9399999999999999E-3</v>
      </c>
      <c r="AD95">
        <v>0</v>
      </c>
      <c r="AE95">
        <v>2.0999999999999999E-3</v>
      </c>
      <c r="AF95">
        <v>0</v>
      </c>
      <c r="AG95">
        <v>1E-3</v>
      </c>
      <c r="AH95">
        <v>8.4999999999999995E-4</v>
      </c>
      <c r="AI95" s="2">
        <v>2.0000000000000002E-5</v>
      </c>
    </row>
    <row r="96" spans="1:35" hidden="1" outlineLevel="1" x14ac:dyDescent="0.25">
      <c r="A96" s="1">
        <v>41971</v>
      </c>
      <c r="B96" s="8">
        <v>1.49E-2</v>
      </c>
      <c r="C96">
        <v>3.0099999999999998E-2</v>
      </c>
      <c r="D96">
        <v>2.4533588760364822E-2</v>
      </c>
      <c r="E96">
        <v>6.7000000000000002E-4</v>
      </c>
      <c r="F96">
        <v>1.0399999999999999E-3</v>
      </c>
      <c r="G96">
        <v>4.3800000000000002E-3</v>
      </c>
      <c r="H96">
        <v>-2.9999999999999997E-4</v>
      </c>
      <c r="I96">
        <v>4.5599999999999998E-3</v>
      </c>
      <c r="J96">
        <v>-6.2E-4</v>
      </c>
      <c r="K96">
        <v>0</v>
      </c>
      <c r="L96">
        <v>-5.4799999999999996E-3</v>
      </c>
      <c r="M96">
        <v>0</v>
      </c>
      <c r="N96">
        <v>1.1800000000000001E-3</v>
      </c>
      <c r="O96">
        <v>2.2399999999999998E-3</v>
      </c>
      <c r="P96">
        <v>0</v>
      </c>
      <c r="Q96">
        <v>-4.2000000000000002E-4</v>
      </c>
      <c r="R96">
        <v>0</v>
      </c>
      <c r="S96">
        <v>0</v>
      </c>
      <c r="T96">
        <v>3.2399999999999998E-3</v>
      </c>
      <c r="U96">
        <v>8.1999999999999998E-4</v>
      </c>
      <c r="V96">
        <v>1.6100000000000001E-3</v>
      </c>
      <c r="W96">
        <v>1.5E-3</v>
      </c>
      <c r="X96">
        <v>1.8600000000000001E-3</v>
      </c>
      <c r="Y96">
        <v>-7.3200000000000001E-3</v>
      </c>
      <c r="Z96">
        <v>6.8000000000000005E-4</v>
      </c>
      <c r="AA96">
        <v>0</v>
      </c>
      <c r="AB96">
        <v>0</v>
      </c>
      <c r="AC96">
        <v>5.2999999999999998E-4</v>
      </c>
      <c r="AD96">
        <v>0</v>
      </c>
      <c r="AE96">
        <v>1.5100000000000001E-3</v>
      </c>
      <c r="AF96">
        <v>0</v>
      </c>
      <c r="AG96">
        <v>8.0000000000000004E-4</v>
      </c>
      <c r="AH96">
        <v>2.49E-3</v>
      </c>
      <c r="AI96" s="2">
        <v>-4.0000000000000003E-5</v>
      </c>
    </row>
    <row r="97" spans="1:35" hidden="1" outlineLevel="1" x14ac:dyDescent="0.25">
      <c r="A97" s="1">
        <v>42004</v>
      </c>
      <c r="B97" s="8">
        <v>3.2000000000000002E-3</v>
      </c>
      <c r="C97">
        <v>-5.7999999999999996E-3</v>
      </c>
      <c r="D97">
        <v>-4.1885878779204244E-3</v>
      </c>
      <c r="E97">
        <v>-4.4999999999999999E-4</v>
      </c>
      <c r="F97">
        <v>-8.0000000000000004E-4</v>
      </c>
      <c r="G97">
        <v>-1.75E-3</v>
      </c>
      <c r="H97">
        <v>2.2599999999999999E-3</v>
      </c>
      <c r="I97">
        <v>1E-4</v>
      </c>
      <c r="J97">
        <v>-7.0299999999999998E-3</v>
      </c>
      <c r="K97">
        <v>0</v>
      </c>
      <c r="L97">
        <v>2.9399999999999999E-3</v>
      </c>
      <c r="M97">
        <v>0</v>
      </c>
      <c r="N97">
        <v>2.9099999999999998E-3</v>
      </c>
      <c r="O97">
        <v>-3.1800000000000001E-3</v>
      </c>
      <c r="P97">
        <v>0</v>
      </c>
      <c r="Q97">
        <v>3.2299999999999998E-3</v>
      </c>
      <c r="R97">
        <v>0</v>
      </c>
      <c r="S97">
        <v>0</v>
      </c>
      <c r="T97">
        <v>1.83E-3</v>
      </c>
      <c r="U97">
        <v>-9.3999999999999997E-4</v>
      </c>
      <c r="V97">
        <v>-6.8000000000000005E-4</v>
      </c>
      <c r="W97">
        <v>2.5899999999999999E-3</v>
      </c>
      <c r="X97">
        <v>-1.0499999999999999E-3</v>
      </c>
      <c r="Y97">
        <v>4.0800000000000003E-3</v>
      </c>
      <c r="Z97">
        <v>0</v>
      </c>
      <c r="AA97">
        <v>0</v>
      </c>
      <c r="AB97">
        <v>0</v>
      </c>
      <c r="AC97">
        <v>2.4000000000000001E-4</v>
      </c>
      <c r="AD97">
        <v>0</v>
      </c>
      <c r="AE97">
        <v>-1.07E-3</v>
      </c>
      <c r="AF97">
        <v>0</v>
      </c>
      <c r="AG97">
        <v>1.7000000000000001E-4</v>
      </c>
      <c r="AH97">
        <v>-1.9000000000000001E-4</v>
      </c>
      <c r="AI97" s="2">
        <v>1.0000000000000001E-5</v>
      </c>
    </row>
    <row r="98" spans="1:35" hidden="1" outlineLevel="1" x14ac:dyDescent="0.25">
      <c r="A98" s="1">
        <v>42034</v>
      </c>
      <c r="B98" s="8">
        <v>-5.9799999999999999E-2</v>
      </c>
      <c r="C98">
        <v>-1.7399999999999999E-2</v>
      </c>
      <c r="D98">
        <v>-3.1040805790470194E-2</v>
      </c>
      <c r="E98">
        <v>0</v>
      </c>
      <c r="F98">
        <v>0</v>
      </c>
      <c r="G98">
        <v>0</v>
      </c>
      <c r="H98">
        <v>-1.532E-2</v>
      </c>
      <c r="I98">
        <v>-4.7699999999999999E-3</v>
      </c>
      <c r="J98">
        <v>-1.1860000000000001E-2</v>
      </c>
      <c r="K98">
        <v>0</v>
      </c>
      <c r="L98">
        <v>-8.8000000000000005E-3</v>
      </c>
      <c r="M98">
        <v>0</v>
      </c>
      <c r="N98">
        <v>-3.4299999999999999E-3</v>
      </c>
      <c r="O98">
        <v>-5.4599999999999996E-3</v>
      </c>
      <c r="P98">
        <v>0</v>
      </c>
      <c r="Q98">
        <v>-1.2460000000000001E-2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-4.2100000000000002E-3</v>
      </c>
      <c r="Y98">
        <v>-7.6000000000000004E-4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7.2700000000000004E-3</v>
      </c>
      <c r="AI98">
        <v>0</v>
      </c>
    </row>
    <row r="99" spans="1:35" hidden="1" outlineLevel="1" x14ac:dyDescent="0.25">
      <c r="A99" s="1">
        <v>42062</v>
      </c>
      <c r="B99" s="8">
        <v>8.9200000000000002E-2</v>
      </c>
      <c r="C99">
        <v>5.7099999999999998E-2</v>
      </c>
      <c r="D99">
        <v>5.4892511014553946E-2</v>
      </c>
      <c r="E99">
        <v>0</v>
      </c>
      <c r="F99">
        <v>0</v>
      </c>
      <c r="G99">
        <v>0</v>
      </c>
      <c r="H99">
        <v>4.3600000000000002E-3</v>
      </c>
      <c r="I99">
        <v>9.0799999999999995E-3</v>
      </c>
      <c r="J99">
        <v>3.6600000000000001E-3</v>
      </c>
      <c r="K99">
        <v>0</v>
      </c>
      <c r="L99">
        <v>4.6800000000000001E-3</v>
      </c>
      <c r="M99">
        <v>0</v>
      </c>
      <c r="N99">
        <v>1.4420000000000001E-2</v>
      </c>
      <c r="O99">
        <v>9.75E-3</v>
      </c>
      <c r="P99">
        <v>0</v>
      </c>
      <c r="Q99">
        <v>1.269E-2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1.5310000000000001E-2</v>
      </c>
      <c r="Y99">
        <v>-2.65E-3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1.7860000000000001E-2</v>
      </c>
      <c r="AI99">
        <v>0</v>
      </c>
    </row>
    <row r="100" spans="1:35" hidden="1" outlineLevel="1" x14ac:dyDescent="0.25">
      <c r="A100" s="1">
        <v>42094</v>
      </c>
      <c r="B100" s="8">
        <v>-2.5100000000000001E-2</v>
      </c>
      <c r="C100">
        <v>-2.24E-2</v>
      </c>
      <c r="D100">
        <v>-1.739610691375626E-2</v>
      </c>
      <c r="E100">
        <v>0</v>
      </c>
      <c r="F100">
        <v>0</v>
      </c>
      <c r="G100">
        <v>0</v>
      </c>
      <c r="H100">
        <v>-2.3400000000000001E-3</v>
      </c>
      <c r="I100">
        <v>-9.2000000000000003E-4</v>
      </c>
      <c r="J100">
        <v>-3.46E-3</v>
      </c>
      <c r="K100">
        <v>0</v>
      </c>
      <c r="L100">
        <v>-4.5100000000000001E-3</v>
      </c>
      <c r="M100">
        <v>0</v>
      </c>
      <c r="N100">
        <v>7.7999999999999999E-4</v>
      </c>
      <c r="O100">
        <v>-4.5399999999999998E-3</v>
      </c>
      <c r="P100">
        <v>0</v>
      </c>
      <c r="Q100">
        <v>-1.14E-3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-5.1500000000000001E-3</v>
      </c>
      <c r="Y100">
        <v>-5.3400000000000001E-3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1.57E-3</v>
      </c>
      <c r="AI100">
        <v>0</v>
      </c>
    </row>
    <row r="101" spans="1:35" hidden="1" outlineLevel="1" x14ac:dyDescent="0.25">
      <c r="A101" s="1">
        <v>42124</v>
      </c>
      <c r="B101" s="8">
        <v>5.6599999999999998E-2</v>
      </c>
      <c r="C101">
        <v>2.3099999999999999E-2</v>
      </c>
      <c r="D101">
        <v>8.5208197301247512E-3</v>
      </c>
      <c r="E101">
        <v>0</v>
      </c>
      <c r="F101">
        <v>0</v>
      </c>
      <c r="G101">
        <v>0</v>
      </c>
      <c r="H101">
        <v>3.5100000000000001E-3</v>
      </c>
      <c r="I101">
        <v>-5.1999999999999995E-4</v>
      </c>
      <c r="J101">
        <v>9.4299999999999991E-3</v>
      </c>
      <c r="K101">
        <v>0</v>
      </c>
      <c r="L101">
        <v>9.0900000000000009E-3</v>
      </c>
      <c r="M101">
        <v>0</v>
      </c>
      <c r="N101">
        <v>3.65E-3</v>
      </c>
      <c r="O101">
        <v>9.1500000000000001E-3</v>
      </c>
      <c r="P101">
        <v>0</v>
      </c>
      <c r="Q101">
        <v>5.0800000000000003E-3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6.0699999999999999E-3</v>
      </c>
      <c r="Y101">
        <v>9.7300000000000008E-3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1.4499999999999999E-3</v>
      </c>
      <c r="AI101">
        <v>0</v>
      </c>
    </row>
    <row r="102" spans="1:35" hidden="1" outlineLevel="1" x14ac:dyDescent="0.25">
      <c r="A102" s="1">
        <v>42153</v>
      </c>
      <c r="B102" s="8">
        <v>6.4000000000000003E-3</v>
      </c>
      <c r="C102">
        <v>8.5000000000000006E-3</v>
      </c>
      <c r="D102">
        <v>1.0491382393316817E-2</v>
      </c>
      <c r="E102">
        <v>0</v>
      </c>
      <c r="F102">
        <v>0</v>
      </c>
      <c r="G102">
        <v>0</v>
      </c>
      <c r="H102">
        <v>3.5799999999999998E-3</v>
      </c>
      <c r="I102">
        <v>5.1000000000000004E-4</v>
      </c>
      <c r="J102">
        <v>-1.8E-3</v>
      </c>
      <c r="K102">
        <v>0</v>
      </c>
      <c r="L102">
        <v>-5.1700000000000001E-3</v>
      </c>
      <c r="M102">
        <v>0</v>
      </c>
      <c r="N102">
        <v>1.5200000000000001E-3</v>
      </c>
      <c r="O102">
        <v>6.9999999999999999E-4</v>
      </c>
      <c r="P102">
        <v>0</v>
      </c>
      <c r="Q102">
        <v>3.98E-3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1.4999999999999999E-4</v>
      </c>
      <c r="Y102">
        <v>-2.3800000000000002E-3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5.2700000000000004E-3</v>
      </c>
      <c r="AI102">
        <v>0</v>
      </c>
    </row>
    <row r="103" spans="1:35" hidden="1" outlineLevel="1" x14ac:dyDescent="0.25">
      <c r="A103" s="1">
        <v>42185</v>
      </c>
      <c r="B103" s="8">
        <v>-1.6199999999999999E-2</v>
      </c>
      <c r="C103">
        <v>-1.7100000000000001E-2</v>
      </c>
      <c r="D103">
        <v>-2.1011672375900514E-2</v>
      </c>
      <c r="E103">
        <v>0</v>
      </c>
      <c r="F103">
        <v>0</v>
      </c>
      <c r="G103">
        <v>0</v>
      </c>
      <c r="H103">
        <v>3.4499999999999999E-3</v>
      </c>
      <c r="I103">
        <v>-4.8199999999999996E-3</v>
      </c>
      <c r="J103">
        <v>-5.9000000000000003E-4</v>
      </c>
      <c r="K103">
        <v>0</v>
      </c>
      <c r="L103">
        <v>-3.5599999999999998E-3</v>
      </c>
      <c r="M103">
        <v>0</v>
      </c>
      <c r="N103">
        <v>3.4199999999999999E-3</v>
      </c>
      <c r="O103">
        <v>-1.72E-3</v>
      </c>
      <c r="P103">
        <v>0</v>
      </c>
      <c r="Q103">
        <v>3.0100000000000001E-3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-9.1299999999999992E-3</v>
      </c>
      <c r="Y103">
        <v>4.2000000000000002E-4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-6.6699999999999997E-3</v>
      </c>
      <c r="AI103">
        <v>0</v>
      </c>
    </row>
    <row r="104" spans="1:35" hidden="1" outlineLevel="1" x14ac:dyDescent="0.25">
      <c r="A104" s="1">
        <v>42216</v>
      </c>
      <c r="B104" s="8">
        <v>-1.7299999999999999E-2</v>
      </c>
      <c r="C104">
        <v>2.23E-2</v>
      </c>
      <c r="D104">
        <v>1.9742029696721453E-2</v>
      </c>
      <c r="E104">
        <v>0</v>
      </c>
      <c r="F104">
        <v>0</v>
      </c>
      <c r="G104">
        <v>0</v>
      </c>
      <c r="H104">
        <v>5.0499999999999998E-3</v>
      </c>
      <c r="I104">
        <v>-2.7899999999999999E-3</v>
      </c>
      <c r="J104">
        <v>-6.3899999999999998E-3</v>
      </c>
      <c r="K104">
        <v>0</v>
      </c>
      <c r="L104">
        <v>-1.6820000000000002E-2</v>
      </c>
      <c r="M104">
        <v>0</v>
      </c>
      <c r="N104">
        <v>5.7099999999999998E-3</v>
      </c>
      <c r="O104">
        <v>-1.7700000000000001E-3</v>
      </c>
      <c r="P104">
        <v>0</v>
      </c>
      <c r="Q104">
        <v>1.7899999999999999E-3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-8.0000000000000004E-4</v>
      </c>
      <c r="Y104">
        <v>-9.7300000000000008E-3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8.4499999999999992E-3</v>
      </c>
      <c r="AI104">
        <v>0</v>
      </c>
    </row>
    <row r="105" spans="1:35" hidden="1" outlineLevel="1" x14ac:dyDescent="0.25">
      <c r="A105" s="1">
        <v>42247</v>
      </c>
      <c r="B105" s="8">
        <v>-2.9499999999999998E-2</v>
      </c>
      <c r="C105">
        <v>-4.58E-2</v>
      </c>
      <c r="D105">
        <v>-6.2580818167202845E-2</v>
      </c>
      <c r="E105">
        <v>0</v>
      </c>
      <c r="F105">
        <v>0</v>
      </c>
      <c r="G105">
        <v>0</v>
      </c>
      <c r="H105">
        <v>-8.6099999999999996E-3</v>
      </c>
      <c r="I105">
        <v>-9.4199999999999996E-3</v>
      </c>
      <c r="J105">
        <v>-2.7899999999999999E-3</v>
      </c>
      <c r="K105">
        <v>0</v>
      </c>
      <c r="L105">
        <v>-2.3600000000000001E-3</v>
      </c>
      <c r="M105">
        <v>0</v>
      </c>
      <c r="N105">
        <v>-1.5100000000000001E-2</v>
      </c>
      <c r="O105">
        <v>-4.8999999999999998E-3</v>
      </c>
      <c r="P105">
        <v>0</v>
      </c>
      <c r="Q105">
        <v>-6.4599999999999996E-3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1.3169999999999999E-2</v>
      </c>
      <c r="Y105">
        <v>4.0000000000000001E-3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2.97E-3</v>
      </c>
      <c r="AI105">
        <v>0</v>
      </c>
    </row>
    <row r="106" spans="1:35" hidden="1" outlineLevel="1" x14ac:dyDescent="0.25">
      <c r="A106" s="1">
        <v>42277</v>
      </c>
      <c r="B106" s="8">
        <v>-2.8400000000000002E-2</v>
      </c>
      <c r="C106">
        <v>-5.9999999999999995E-4</v>
      </c>
      <c r="D106">
        <v>-2.6442831573227132E-2</v>
      </c>
      <c r="E106">
        <v>0</v>
      </c>
      <c r="F106">
        <v>0</v>
      </c>
      <c r="G106">
        <v>0</v>
      </c>
      <c r="H106">
        <v>-4.3499999999999997E-3</v>
      </c>
      <c r="I106">
        <v>-1.65E-3</v>
      </c>
      <c r="J106">
        <v>-1.4500000000000001E-2</v>
      </c>
      <c r="K106">
        <v>0</v>
      </c>
      <c r="L106">
        <v>-2.4199999999999998E-3</v>
      </c>
      <c r="M106">
        <v>0</v>
      </c>
      <c r="N106">
        <v>3.1E-4</v>
      </c>
      <c r="O106">
        <v>2.5400000000000002E-3</v>
      </c>
      <c r="P106">
        <v>0</v>
      </c>
      <c r="Q106">
        <v>-4.8799999999999998E-3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9.6500000000000006E-3</v>
      </c>
      <c r="Y106">
        <v>-8.3700000000000007E-3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-4.7200000000000002E-3</v>
      </c>
      <c r="AI106">
        <v>0</v>
      </c>
    </row>
    <row r="107" spans="1:35" hidden="1" outlineLevel="1" x14ac:dyDescent="0.25">
      <c r="A107" s="1">
        <v>42307</v>
      </c>
      <c r="B107" s="8">
        <v>0.1198</v>
      </c>
      <c r="C107">
        <v>9.6799999999999997E-2</v>
      </c>
      <c r="D107">
        <v>8.2983117760394132E-2</v>
      </c>
      <c r="E107">
        <v>0</v>
      </c>
      <c r="F107">
        <v>0</v>
      </c>
      <c r="G107">
        <v>0</v>
      </c>
      <c r="H107">
        <v>7.7000000000000002E-3</v>
      </c>
      <c r="I107">
        <v>1.8319999999999999E-2</v>
      </c>
      <c r="J107">
        <v>1.285E-2</v>
      </c>
      <c r="K107">
        <v>0</v>
      </c>
      <c r="L107">
        <v>1.278E-2</v>
      </c>
      <c r="M107">
        <v>0</v>
      </c>
      <c r="N107">
        <v>1.129E-2</v>
      </c>
      <c r="O107">
        <v>1.4670000000000001E-2</v>
      </c>
      <c r="P107">
        <v>0</v>
      </c>
      <c r="Q107">
        <v>6.1000000000000004E-3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1.5089999999999999E-2</v>
      </c>
      <c r="Y107">
        <v>1.268E-2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8.2699999999999996E-3</v>
      </c>
      <c r="AI107">
        <v>0</v>
      </c>
    </row>
    <row r="108" spans="1:35" hidden="1" outlineLevel="1" x14ac:dyDescent="0.25">
      <c r="A108" s="1">
        <v>42338</v>
      </c>
      <c r="B108" s="8">
        <v>3.5200000000000002E-2</v>
      </c>
      <c r="C108">
        <v>1.0500000000000001E-2</v>
      </c>
      <c r="D108">
        <v>5.0486926072412786E-4</v>
      </c>
      <c r="E108">
        <v>0</v>
      </c>
      <c r="F108">
        <v>0</v>
      </c>
      <c r="G108">
        <v>0</v>
      </c>
      <c r="H108">
        <v>3.8700000000000002E-3</v>
      </c>
      <c r="I108">
        <v>3.3400000000000001E-3</v>
      </c>
      <c r="J108">
        <v>-4.6999999999999999E-4</v>
      </c>
      <c r="K108">
        <v>0</v>
      </c>
      <c r="L108">
        <v>1.31E-3</v>
      </c>
      <c r="M108">
        <v>0</v>
      </c>
      <c r="N108">
        <v>-2.4000000000000001E-4</v>
      </c>
      <c r="O108">
        <v>3.5300000000000002E-3</v>
      </c>
      <c r="P108">
        <v>0</v>
      </c>
      <c r="Q108">
        <v>3.7799999999999999E-3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1.221E-2</v>
      </c>
      <c r="Y108">
        <v>1.41E-3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6.4099999999999999E-3</v>
      </c>
      <c r="AI108">
        <v>0</v>
      </c>
    </row>
    <row r="109" spans="1:35" hidden="1" outlineLevel="1" x14ac:dyDescent="0.25">
      <c r="A109" s="1">
        <v>42369</v>
      </c>
      <c r="B109" s="8">
        <v>-4.5100000000000001E-2</v>
      </c>
      <c r="C109">
        <v>-1.3899999999999999E-2</v>
      </c>
      <c r="D109">
        <v>-1.7530185176314439E-2</v>
      </c>
      <c r="E109">
        <v>0</v>
      </c>
      <c r="F109">
        <v>0</v>
      </c>
      <c r="G109">
        <v>0</v>
      </c>
      <c r="H109">
        <v>-3.16E-3</v>
      </c>
      <c r="I109">
        <v>-5.7800000000000004E-3</v>
      </c>
      <c r="J109">
        <v>-6.4599999999999996E-3</v>
      </c>
      <c r="K109">
        <v>0</v>
      </c>
      <c r="L109">
        <v>-1.362E-2</v>
      </c>
      <c r="M109">
        <v>0</v>
      </c>
      <c r="N109">
        <v>-6.77E-3</v>
      </c>
      <c r="O109">
        <v>4.81E-3</v>
      </c>
      <c r="P109">
        <v>0</v>
      </c>
      <c r="Q109">
        <v>-9.7000000000000005E-4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3.9100000000000003E-3</v>
      </c>
      <c r="Y109">
        <v>-9.5600000000000008E-3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-7.4999999999999997E-3</v>
      </c>
      <c r="AI109">
        <v>0</v>
      </c>
    </row>
    <row r="110" spans="1:35" hidden="1" outlineLevel="1" x14ac:dyDescent="0.25">
      <c r="A110" s="1">
        <v>42398</v>
      </c>
      <c r="B110" s="8">
        <v>2.6499999999999999E-2</v>
      </c>
      <c r="C110">
        <v>-3.7600000000000001E-2</v>
      </c>
      <c r="D110">
        <v>-5.073532197294639E-2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1.9400000000000001E-3</v>
      </c>
      <c r="L110">
        <v>0</v>
      </c>
      <c r="M110">
        <v>6.7000000000000002E-3</v>
      </c>
      <c r="N110">
        <v>0</v>
      </c>
      <c r="O110">
        <v>0</v>
      </c>
      <c r="P110">
        <v>1.67E-3</v>
      </c>
      <c r="Q110">
        <v>0</v>
      </c>
      <c r="R110" s="2">
        <v>-9.0000000000000006E-5</v>
      </c>
      <c r="S110">
        <v>4.7699999999999999E-3</v>
      </c>
      <c r="T110">
        <v>0</v>
      </c>
      <c r="U110">
        <v>0</v>
      </c>
      <c r="V110">
        <v>-7.7999999999999999E-4</v>
      </c>
      <c r="W110">
        <v>0</v>
      </c>
      <c r="X110">
        <v>0</v>
      </c>
      <c r="Y110">
        <v>0</v>
      </c>
      <c r="Z110">
        <v>0</v>
      </c>
      <c r="AA110">
        <v>3.7100000000000002E-3</v>
      </c>
      <c r="AB110">
        <v>4.5500000000000002E-3</v>
      </c>
      <c r="AC110">
        <v>0</v>
      </c>
      <c r="AD110">
        <v>6.1900000000000002E-3</v>
      </c>
      <c r="AE110">
        <v>0</v>
      </c>
      <c r="AF110">
        <v>-2.1099999999999999E-3</v>
      </c>
      <c r="AG110">
        <v>0</v>
      </c>
      <c r="AH110">
        <v>0</v>
      </c>
      <c r="AI110">
        <v>0</v>
      </c>
    </row>
    <row r="111" spans="1:35" hidden="1" outlineLevel="1" x14ac:dyDescent="0.25">
      <c r="A111" s="1">
        <v>42429</v>
      </c>
      <c r="B111" s="8">
        <v>-5.4999999999999997E-3</v>
      </c>
      <c r="C111">
        <v>8.9999999999999998E-4</v>
      </c>
      <c r="D111">
        <v>-4.1283604302990717E-3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-2.8E-3</v>
      </c>
      <c r="L111">
        <v>0</v>
      </c>
      <c r="M111">
        <v>-3.1199999999999999E-3</v>
      </c>
      <c r="N111">
        <v>0</v>
      </c>
      <c r="O111">
        <v>0</v>
      </c>
      <c r="P111">
        <v>1.4599999999999999E-3</v>
      </c>
      <c r="Q111">
        <v>0</v>
      </c>
      <c r="R111">
        <v>4.8999999999999998E-4</v>
      </c>
      <c r="S111">
        <v>-4.5999999999999999E-3</v>
      </c>
      <c r="T111">
        <v>0</v>
      </c>
      <c r="U111">
        <v>0</v>
      </c>
      <c r="V111">
        <v>-6.8000000000000005E-4</v>
      </c>
      <c r="W111">
        <v>0</v>
      </c>
      <c r="X111">
        <v>0</v>
      </c>
      <c r="Y111">
        <v>0</v>
      </c>
      <c r="Z111">
        <v>0</v>
      </c>
      <c r="AA111">
        <v>-1.7099999999999999E-3</v>
      </c>
      <c r="AB111">
        <v>-4.0000000000000002E-4</v>
      </c>
      <c r="AC111">
        <v>0</v>
      </c>
      <c r="AD111">
        <v>2.47E-3</v>
      </c>
      <c r="AE111">
        <v>0</v>
      </c>
      <c r="AF111">
        <v>3.4199999999999999E-3</v>
      </c>
      <c r="AG111">
        <v>0</v>
      </c>
      <c r="AH111">
        <v>0</v>
      </c>
      <c r="AI111">
        <v>0</v>
      </c>
    </row>
    <row r="112" spans="1:35" hidden="1" outlineLevel="1" x14ac:dyDescent="0.25">
      <c r="A112" s="1">
        <v>42460</v>
      </c>
      <c r="B112" s="8">
        <v>5.91E-2</v>
      </c>
      <c r="C112">
        <v>7.3700000000000002E-2</v>
      </c>
      <c r="D112">
        <v>6.5991114577365062E-2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7.6299999999999996E-3</v>
      </c>
      <c r="L112">
        <v>0</v>
      </c>
      <c r="M112">
        <v>8.4399999999999996E-3</v>
      </c>
      <c r="N112">
        <v>0</v>
      </c>
      <c r="O112">
        <v>0</v>
      </c>
      <c r="P112">
        <v>2.8400000000000001E-3</v>
      </c>
      <c r="Q112">
        <v>0</v>
      </c>
      <c r="R112">
        <v>8.3700000000000007E-3</v>
      </c>
      <c r="S112">
        <v>7.2399999999999999E-3</v>
      </c>
      <c r="T112">
        <v>0</v>
      </c>
      <c r="U112">
        <v>0</v>
      </c>
      <c r="V112" s="2">
        <v>6.0000000000000002E-5</v>
      </c>
      <c r="W112">
        <v>0</v>
      </c>
      <c r="X112">
        <v>0</v>
      </c>
      <c r="Y112">
        <v>0</v>
      </c>
      <c r="Z112">
        <v>0</v>
      </c>
      <c r="AA112">
        <v>2.5200000000000001E-3</v>
      </c>
      <c r="AB112">
        <v>7.3699999999999998E-3</v>
      </c>
      <c r="AC112">
        <v>0</v>
      </c>
      <c r="AD112">
        <v>6.0099999999999997E-3</v>
      </c>
      <c r="AE112">
        <v>0</v>
      </c>
      <c r="AF112">
        <v>8.6499999999999997E-3</v>
      </c>
      <c r="AG112">
        <v>0</v>
      </c>
      <c r="AH112">
        <v>0</v>
      </c>
      <c r="AI112">
        <v>0</v>
      </c>
    </row>
    <row r="113" spans="1:35" hidden="1" outlineLevel="1" x14ac:dyDescent="0.25">
      <c r="A113" s="1">
        <v>42489</v>
      </c>
      <c r="B113" s="8">
        <v>-9.7000000000000003E-3</v>
      </c>
      <c r="C113">
        <v>1.4999999999999999E-2</v>
      </c>
      <c r="D113">
        <v>2.6993984808731941E-3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9.3000000000000005E-4</v>
      </c>
      <c r="L113">
        <v>0</v>
      </c>
      <c r="M113">
        <v>-4.8599999999999997E-3</v>
      </c>
      <c r="N113">
        <v>0</v>
      </c>
      <c r="O113">
        <v>0</v>
      </c>
      <c r="P113">
        <v>3.5899999999999999E-3</v>
      </c>
      <c r="Q113">
        <v>0</v>
      </c>
      <c r="R113">
        <v>-3.4299999999999999E-3</v>
      </c>
      <c r="S113">
        <v>6.4000000000000005E-4</v>
      </c>
      <c r="T113">
        <v>0</v>
      </c>
      <c r="U113">
        <v>0</v>
      </c>
      <c r="V113">
        <v>-4.1200000000000004E-3</v>
      </c>
      <c r="W113">
        <v>0</v>
      </c>
      <c r="X113">
        <v>0</v>
      </c>
      <c r="Y113">
        <v>0</v>
      </c>
      <c r="Z113">
        <v>0</v>
      </c>
      <c r="AA113">
        <v>-1.8500000000000001E-3</v>
      </c>
      <c r="AB113">
        <v>-3.15E-3</v>
      </c>
      <c r="AC113">
        <v>0</v>
      </c>
      <c r="AD113">
        <v>3.3E-4</v>
      </c>
      <c r="AE113">
        <v>0</v>
      </c>
      <c r="AF113">
        <v>2.16E-3</v>
      </c>
      <c r="AG113">
        <v>0</v>
      </c>
      <c r="AH113">
        <v>0</v>
      </c>
      <c r="AI113">
        <v>0</v>
      </c>
    </row>
    <row r="114" spans="1:35" hidden="1" outlineLevel="1" x14ac:dyDescent="0.25">
      <c r="A114" s="1">
        <v>42521</v>
      </c>
      <c r="B114" s="8">
        <v>-5.3E-3</v>
      </c>
      <c r="C114">
        <v>1.7399999999999999E-2</v>
      </c>
      <c r="D114">
        <v>1.5324602357572603E-2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-7.2000000000000005E-4</v>
      </c>
      <c r="L114">
        <v>0</v>
      </c>
      <c r="M114">
        <v>1.09E-3</v>
      </c>
      <c r="N114">
        <v>0</v>
      </c>
      <c r="O114">
        <v>0</v>
      </c>
      <c r="P114">
        <v>1.2600000000000001E-3</v>
      </c>
      <c r="Q114">
        <v>0</v>
      </c>
      <c r="R114">
        <v>-4.4999999999999999E-4</v>
      </c>
      <c r="S114">
        <v>-3.5000000000000001E-3</v>
      </c>
      <c r="T114">
        <v>0</v>
      </c>
      <c r="U114">
        <v>0</v>
      </c>
      <c r="V114">
        <v>-6.3099999999999996E-3</v>
      </c>
      <c r="W114">
        <v>0</v>
      </c>
      <c r="X114">
        <v>0</v>
      </c>
      <c r="Y114">
        <v>0</v>
      </c>
      <c r="Z114">
        <v>0</v>
      </c>
      <c r="AA114">
        <v>1.15E-3</v>
      </c>
      <c r="AB114">
        <v>-2.0000000000000001E-4</v>
      </c>
      <c r="AC114">
        <v>0</v>
      </c>
      <c r="AD114">
        <v>8.4999999999999995E-4</v>
      </c>
      <c r="AE114">
        <v>0</v>
      </c>
      <c r="AF114">
        <v>1.5100000000000001E-3</v>
      </c>
      <c r="AG114">
        <v>0</v>
      </c>
      <c r="AH114">
        <v>0</v>
      </c>
      <c r="AI114">
        <v>0</v>
      </c>
    </row>
    <row r="115" spans="1:35" hidden="1" outlineLevel="1" x14ac:dyDescent="0.25">
      <c r="A115" s="1">
        <v>42551</v>
      </c>
      <c r="B115" s="8">
        <v>5.1900000000000002E-2</v>
      </c>
      <c r="C115">
        <v>2.53E-2</v>
      </c>
      <c r="D115">
        <v>9.1092112097812539E-4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3.96E-3</v>
      </c>
      <c r="L115">
        <v>0</v>
      </c>
      <c r="M115">
        <v>8.8299999999999993E-3</v>
      </c>
      <c r="N115">
        <v>0</v>
      </c>
      <c r="O115">
        <v>0</v>
      </c>
      <c r="P115">
        <v>7.6400000000000001E-3</v>
      </c>
      <c r="Q115">
        <v>0</v>
      </c>
      <c r="R115">
        <v>2.4199999999999998E-3</v>
      </c>
      <c r="S115">
        <v>-6.8000000000000005E-4</v>
      </c>
      <c r="T115">
        <v>0</v>
      </c>
      <c r="U115">
        <v>0</v>
      </c>
      <c r="V115">
        <v>2.5000000000000001E-4</v>
      </c>
      <c r="W115">
        <v>0</v>
      </c>
      <c r="X115">
        <v>0</v>
      </c>
      <c r="Y115">
        <v>0</v>
      </c>
      <c r="Z115">
        <v>0</v>
      </c>
      <c r="AA115">
        <v>4.4799999999999996E-3</v>
      </c>
      <c r="AB115">
        <v>8.4700000000000001E-3</v>
      </c>
      <c r="AC115">
        <v>0</v>
      </c>
      <c r="AD115">
        <v>1.0370000000000001E-2</v>
      </c>
      <c r="AE115">
        <v>0</v>
      </c>
      <c r="AF115">
        <v>6.1000000000000004E-3</v>
      </c>
      <c r="AG115">
        <v>0</v>
      </c>
      <c r="AH115">
        <v>0</v>
      </c>
      <c r="AI115">
        <v>0</v>
      </c>
    </row>
    <row r="116" spans="1:35" hidden="1" outlineLevel="1" x14ac:dyDescent="0.25">
      <c r="A116" s="1">
        <v>42580</v>
      </c>
      <c r="B116" s="8">
        <v>4.4999999999999997E-3</v>
      </c>
      <c r="C116">
        <v>2.8500000000000001E-2</v>
      </c>
      <c r="D116">
        <v>3.5609801125254359E-2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2.2100000000000002E-3</v>
      </c>
      <c r="L116">
        <v>0</v>
      </c>
      <c r="M116">
        <v>1.2E-4</v>
      </c>
      <c r="N116">
        <v>0</v>
      </c>
      <c r="O116">
        <v>0</v>
      </c>
      <c r="P116">
        <v>3.2399999999999998E-3</v>
      </c>
      <c r="Q116">
        <v>0</v>
      </c>
      <c r="R116">
        <v>-3.7499999999999999E-3</v>
      </c>
      <c r="S116">
        <v>-2.2399999999999998E-3</v>
      </c>
      <c r="T116">
        <v>0</v>
      </c>
      <c r="U116">
        <v>0</v>
      </c>
      <c r="V116">
        <v>5.4000000000000001E-4</v>
      </c>
      <c r="W116">
        <v>0</v>
      </c>
      <c r="X116">
        <v>0</v>
      </c>
      <c r="Y116">
        <v>0</v>
      </c>
      <c r="Z116">
        <v>0</v>
      </c>
      <c r="AA116">
        <v>1.8799999999999999E-3</v>
      </c>
      <c r="AB116">
        <v>-2.4000000000000001E-4</v>
      </c>
      <c r="AC116">
        <v>0</v>
      </c>
      <c r="AD116">
        <v>1.2999999999999999E-3</v>
      </c>
      <c r="AE116">
        <v>0</v>
      </c>
      <c r="AF116">
        <v>1.42E-3</v>
      </c>
      <c r="AG116">
        <v>0</v>
      </c>
      <c r="AH116">
        <v>0</v>
      </c>
      <c r="AI116">
        <v>0</v>
      </c>
    </row>
    <row r="117" spans="1:35" hidden="1" outlineLevel="1" x14ac:dyDescent="0.25">
      <c r="A117" s="1">
        <v>42613</v>
      </c>
      <c r="B117" s="8">
        <v>-1.7299999999999999E-2</v>
      </c>
      <c r="C117">
        <v>2.9999999999999997E-4</v>
      </c>
      <c r="D117">
        <v>-1.2192431360480427E-3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-1.2E-4</v>
      </c>
      <c r="L117">
        <v>0</v>
      </c>
      <c r="M117">
        <v>-4.0499999999999998E-3</v>
      </c>
      <c r="N117">
        <v>0</v>
      </c>
      <c r="O117">
        <v>0</v>
      </c>
      <c r="P117">
        <v>-4.0600000000000002E-3</v>
      </c>
      <c r="Q117">
        <v>0</v>
      </c>
      <c r="R117">
        <v>-4.6000000000000001E-4</v>
      </c>
      <c r="S117">
        <v>-9.3999999999999997E-4</v>
      </c>
      <c r="T117">
        <v>0</v>
      </c>
      <c r="U117">
        <v>0</v>
      </c>
      <c r="V117">
        <v>3.8600000000000001E-3</v>
      </c>
      <c r="W117">
        <v>0</v>
      </c>
      <c r="X117">
        <v>0</v>
      </c>
      <c r="Y117">
        <v>0</v>
      </c>
      <c r="Z117">
        <v>0</v>
      </c>
      <c r="AA117">
        <v>2.0100000000000001E-3</v>
      </c>
      <c r="AB117">
        <v>-3.0100000000000001E-3</v>
      </c>
      <c r="AC117">
        <v>0</v>
      </c>
      <c r="AD117">
        <v>-5.5700000000000003E-3</v>
      </c>
      <c r="AE117">
        <v>0</v>
      </c>
      <c r="AF117">
        <v>-4.9899999999999996E-3</v>
      </c>
      <c r="AG117">
        <v>0</v>
      </c>
      <c r="AH117">
        <v>0</v>
      </c>
      <c r="AI117">
        <v>0</v>
      </c>
    </row>
    <row r="118" spans="1:35" hidden="1" outlineLevel="1" x14ac:dyDescent="0.25">
      <c r="A118" s="1">
        <v>42643</v>
      </c>
      <c r="B118" s="8">
        <v>-6.1000000000000004E-3</v>
      </c>
      <c r="C118">
        <v>6.1000000000000004E-3</v>
      </c>
      <c r="D118">
        <v>-1.2344508443253854E-3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-2.7E-4</v>
      </c>
      <c r="L118">
        <v>0</v>
      </c>
      <c r="M118">
        <v>1.4999999999999999E-4</v>
      </c>
      <c r="N118">
        <v>0</v>
      </c>
      <c r="O118">
        <v>0</v>
      </c>
      <c r="P118">
        <v>-1.01E-3</v>
      </c>
      <c r="Q118">
        <v>0</v>
      </c>
      <c r="R118">
        <v>-1.75E-3</v>
      </c>
      <c r="S118">
        <v>-2.5999999999999998E-4</v>
      </c>
      <c r="T118">
        <v>0</v>
      </c>
      <c r="U118">
        <v>0</v>
      </c>
      <c r="V118">
        <v>-8.3800000000000003E-3</v>
      </c>
      <c r="W118">
        <v>0</v>
      </c>
      <c r="X118">
        <v>0</v>
      </c>
      <c r="Y118">
        <v>0</v>
      </c>
      <c r="Z118">
        <v>0</v>
      </c>
      <c r="AA118">
        <v>2.7899999999999999E-3</v>
      </c>
      <c r="AB118" s="2">
        <v>-6.0000000000000002E-5</v>
      </c>
      <c r="AC118">
        <v>0</v>
      </c>
      <c r="AD118">
        <v>-6.6E-4</v>
      </c>
      <c r="AE118">
        <v>0</v>
      </c>
      <c r="AF118">
        <v>3.3600000000000001E-3</v>
      </c>
      <c r="AG118">
        <v>0</v>
      </c>
      <c r="AH118">
        <v>0</v>
      </c>
      <c r="AI118">
        <v>0</v>
      </c>
    </row>
    <row r="119" spans="1:35" hidden="1" outlineLevel="1" x14ac:dyDescent="0.25">
      <c r="A119" s="1">
        <v>42674</v>
      </c>
      <c r="B119" s="8">
        <v>-0.02</v>
      </c>
      <c r="C119">
        <v>-1.03E-2</v>
      </c>
      <c r="D119">
        <v>-1.9425679279557517E-2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-3.2200000000000002E-3</v>
      </c>
      <c r="L119">
        <v>0</v>
      </c>
      <c r="M119">
        <v>1.25E-3</v>
      </c>
      <c r="N119">
        <v>0</v>
      </c>
      <c r="O119">
        <v>0</v>
      </c>
      <c r="P119">
        <v>-1.81E-3</v>
      </c>
      <c r="Q119">
        <v>0</v>
      </c>
      <c r="R119">
        <v>1.9000000000000001E-4</v>
      </c>
      <c r="S119">
        <v>-2.4199999999999998E-3</v>
      </c>
      <c r="T119">
        <v>0</v>
      </c>
      <c r="U119">
        <v>0</v>
      </c>
      <c r="V119">
        <v>-4.6899999999999997E-3</v>
      </c>
      <c r="W119">
        <v>0</v>
      </c>
      <c r="X119">
        <v>0</v>
      </c>
      <c r="Y119">
        <v>0</v>
      </c>
      <c r="Z119">
        <v>0</v>
      </c>
      <c r="AA119">
        <v>-2.5400000000000002E-3</v>
      </c>
      <c r="AB119">
        <v>5.2999999999999998E-4</v>
      </c>
      <c r="AC119">
        <v>0</v>
      </c>
      <c r="AD119">
        <v>-8.2199999999999999E-3</v>
      </c>
      <c r="AE119">
        <v>0</v>
      </c>
      <c r="AF119">
        <v>9.5E-4</v>
      </c>
      <c r="AG119">
        <v>0</v>
      </c>
      <c r="AH119">
        <v>0</v>
      </c>
      <c r="AI119">
        <v>0</v>
      </c>
    </row>
    <row r="120" spans="1:35" hidden="1" outlineLevel="1" x14ac:dyDescent="0.25">
      <c r="A120" s="1">
        <v>42704</v>
      </c>
      <c r="B120" s="8">
        <v>-6.7000000000000002E-3</v>
      </c>
      <c r="C120">
        <v>4.7500000000000001E-2</v>
      </c>
      <c r="D120">
        <v>3.4174522187570444E-2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-8.5900000000000004E-3</v>
      </c>
      <c r="L120">
        <v>0</v>
      </c>
      <c r="M120">
        <v>-1.6100000000000001E-3</v>
      </c>
      <c r="N120">
        <v>0</v>
      </c>
      <c r="O120">
        <v>0</v>
      </c>
      <c r="P120">
        <v>-3.3500000000000001E-3</v>
      </c>
      <c r="Q120">
        <v>0</v>
      </c>
      <c r="R120">
        <v>-4.0099999999999997E-3</v>
      </c>
      <c r="S120">
        <v>6.79E-3</v>
      </c>
      <c r="T120">
        <v>0</v>
      </c>
      <c r="U120">
        <v>0</v>
      </c>
      <c r="V120">
        <v>-2.2000000000000001E-4</v>
      </c>
      <c r="W120">
        <v>0</v>
      </c>
      <c r="X120">
        <v>0</v>
      </c>
      <c r="Y120">
        <v>0</v>
      </c>
      <c r="Z120">
        <v>0</v>
      </c>
      <c r="AA120">
        <v>-5.0000000000000001E-3</v>
      </c>
      <c r="AB120">
        <v>-8.1200000000000005E-3</v>
      </c>
      <c r="AC120">
        <v>0</v>
      </c>
      <c r="AD120">
        <v>5.0000000000000001E-3</v>
      </c>
      <c r="AE120">
        <v>0</v>
      </c>
      <c r="AF120">
        <v>1.2460000000000001E-2</v>
      </c>
      <c r="AG120">
        <v>0</v>
      </c>
      <c r="AH120">
        <v>0</v>
      </c>
      <c r="AI120">
        <v>0</v>
      </c>
    </row>
    <row r="121" spans="1:35" hidden="1" outlineLevel="1" x14ac:dyDescent="0.25">
      <c r="A121" s="1">
        <v>42734</v>
      </c>
      <c r="B121" s="8">
        <v>3.32E-2</v>
      </c>
      <c r="C121">
        <v>2.6700000000000002E-2</v>
      </c>
      <c r="D121">
        <v>1.8200762196895148E-2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3.2000000000000003E-4</v>
      </c>
      <c r="L121">
        <v>0</v>
      </c>
      <c r="M121">
        <v>4.4999999999999997E-3</v>
      </c>
      <c r="N121">
        <v>0</v>
      </c>
      <c r="O121">
        <v>0</v>
      </c>
      <c r="P121">
        <v>3.5100000000000001E-3</v>
      </c>
      <c r="Q121">
        <v>0</v>
      </c>
      <c r="R121">
        <v>2.7499999999999998E-3</v>
      </c>
      <c r="S121">
        <v>2.0500000000000002E-3</v>
      </c>
      <c r="T121">
        <v>0</v>
      </c>
      <c r="U121">
        <v>0</v>
      </c>
      <c r="V121">
        <v>1.8799999999999999E-3</v>
      </c>
      <c r="W121">
        <v>0</v>
      </c>
      <c r="X121">
        <v>0</v>
      </c>
      <c r="Y121">
        <v>0</v>
      </c>
      <c r="Z121">
        <v>0</v>
      </c>
      <c r="AA121">
        <v>1.9599999999999999E-3</v>
      </c>
      <c r="AB121">
        <v>5.0600000000000003E-3</v>
      </c>
      <c r="AC121">
        <v>0</v>
      </c>
      <c r="AD121">
        <v>1.01E-2</v>
      </c>
      <c r="AE121">
        <v>0</v>
      </c>
      <c r="AF121">
        <v>1.09E-3</v>
      </c>
      <c r="AG121">
        <v>0</v>
      </c>
      <c r="AH121">
        <v>0</v>
      </c>
      <c r="AI121">
        <v>0</v>
      </c>
    </row>
    <row r="122" spans="1:35" hidden="1" outlineLevel="1" x14ac:dyDescent="0.25">
      <c r="A122" s="1">
        <v>42766</v>
      </c>
      <c r="B122" s="8">
        <v>1.7600000000000001E-2</v>
      </c>
      <c r="C122">
        <v>8.6E-3</v>
      </c>
      <c r="D122">
        <v>1.7884358171464498E-2</v>
      </c>
      <c r="E122">
        <v>4.7699999999999999E-3</v>
      </c>
      <c r="F122">
        <v>9.8200000000000006E-3</v>
      </c>
      <c r="G122">
        <v>0</v>
      </c>
      <c r="H122">
        <v>2.4399999999999999E-3</v>
      </c>
      <c r="I122">
        <v>-1.72E-3</v>
      </c>
      <c r="J122">
        <v>3.98E-3</v>
      </c>
      <c r="K122">
        <v>0</v>
      </c>
      <c r="L122">
        <v>-2.7499999999999998E-3</v>
      </c>
      <c r="M122">
        <v>0</v>
      </c>
      <c r="N122">
        <v>6.1700000000000001E-3</v>
      </c>
      <c r="O122">
        <v>-6.0099999999999997E-3</v>
      </c>
      <c r="P122">
        <v>0</v>
      </c>
      <c r="Q122">
        <v>-1.3699999999999999E-3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2.2899999999999999E-3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</row>
    <row r="123" spans="1:35" hidden="1" outlineLevel="1" x14ac:dyDescent="0.25">
      <c r="A123" s="1">
        <v>42794</v>
      </c>
      <c r="B123" s="8">
        <v>2.86E-2</v>
      </c>
      <c r="C123">
        <v>3.1899999999999998E-2</v>
      </c>
      <c r="D123">
        <v>3.7198160337279074E-2</v>
      </c>
      <c r="E123">
        <v>1.336E-2</v>
      </c>
      <c r="F123">
        <v>2.6199999999999999E-3</v>
      </c>
      <c r="G123">
        <v>0</v>
      </c>
      <c r="H123">
        <v>9.0100000000000006E-3</v>
      </c>
      <c r="I123">
        <v>3.5999999999999999E-3</v>
      </c>
      <c r="J123">
        <v>1.0499999999999999E-3</v>
      </c>
      <c r="K123">
        <v>0</v>
      </c>
      <c r="L123">
        <v>-1.9E-3</v>
      </c>
      <c r="M123">
        <v>0</v>
      </c>
      <c r="N123">
        <v>-5.1000000000000004E-4</v>
      </c>
      <c r="O123">
        <v>1.1800000000000001E-3</v>
      </c>
      <c r="P123">
        <v>0</v>
      </c>
      <c r="Q123">
        <v>7.0800000000000004E-3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-6.9199999999999999E-3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</row>
    <row r="124" spans="1:35" hidden="1" outlineLevel="1" x14ac:dyDescent="0.25">
      <c r="A124" s="1">
        <v>42825</v>
      </c>
      <c r="B124" s="8">
        <v>1.3299999999999999E-2</v>
      </c>
      <c r="C124">
        <v>3.8E-3</v>
      </c>
      <c r="D124">
        <v>-3.8919718808450021E-4</v>
      </c>
      <c r="E124">
        <v>4.8700000000000002E-3</v>
      </c>
      <c r="F124">
        <v>4.9100000000000003E-3</v>
      </c>
      <c r="G124">
        <v>0</v>
      </c>
      <c r="H124">
        <v>-4.1099999999999999E-3</v>
      </c>
      <c r="I124">
        <v>-3.6999999999999999E-4</v>
      </c>
      <c r="J124">
        <v>-4.0299999999999997E-3</v>
      </c>
      <c r="K124">
        <v>0</v>
      </c>
      <c r="L124">
        <v>4.8399999999999997E-3</v>
      </c>
      <c r="M124">
        <v>0</v>
      </c>
      <c r="N124">
        <v>3.0000000000000001E-3</v>
      </c>
      <c r="O124" s="2">
        <v>-3.0000000000000001E-5</v>
      </c>
      <c r="P124">
        <v>0</v>
      </c>
      <c r="Q124">
        <v>-3.0699999999999998E-3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7.3400000000000002E-3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</row>
    <row r="125" spans="1:35" hidden="1" outlineLevel="1" x14ac:dyDescent="0.25">
      <c r="A125" s="1">
        <v>42853</v>
      </c>
      <c r="B125" s="8">
        <v>5.3E-3</v>
      </c>
      <c r="C125">
        <v>6.7000000000000002E-3</v>
      </c>
      <c r="D125">
        <v>9.0912085493182193E-3</v>
      </c>
      <c r="E125" s="2">
        <v>-1.0000000000000001E-5</v>
      </c>
      <c r="F125">
        <v>4.3400000000000001E-3</v>
      </c>
      <c r="G125">
        <v>0</v>
      </c>
      <c r="H125">
        <v>-1.06E-3</v>
      </c>
      <c r="I125">
        <v>2.7999999999999998E-4</v>
      </c>
      <c r="J125">
        <v>1.107E-2</v>
      </c>
      <c r="K125">
        <v>0</v>
      </c>
      <c r="L125">
        <v>-3.9300000000000003E-3</v>
      </c>
      <c r="M125">
        <v>0</v>
      </c>
      <c r="N125">
        <v>1.9499999999999999E-3</v>
      </c>
      <c r="O125">
        <v>-2.7200000000000002E-3</v>
      </c>
      <c r="P125">
        <v>0</v>
      </c>
      <c r="Q125">
        <v>-3.8999999999999999E-4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-4.2500000000000003E-3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</row>
    <row r="126" spans="1:35" hidden="1" outlineLevel="1" x14ac:dyDescent="0.25">
      <c r="A126" s="1">
        <v>42886</v>
      </c>
      <c r="B126" s="8">
        <v>3.4799999999999998E-2</v>
      </c>
      <c r="C126">
        <v>2.3300000000000001E-2</v>
      </c>
      <c r="D126">
        <v>1.157625139134133E-2</v>
      </c>
      <c r="E126">
        <v>6.7799999999999996E-3</v>
      </c>
      <c r="F126">
        <v>7.5300000000000002E-3</v>
      </c>
      <c r="G126">
        <v>0</v>
      </c>
      <c r="H126">
        <v>-3.6600000000000001E-3</v>
      </c>
      <c r="I126">
        <v>6.4200000000000004E-3</v>
      </c>
      <c r="J126">
        <v>3.0999999999999999E-3</v>
      </c>
      <c r="K126">
        <v>0</v>
      </c>
      <c r="L126">
        <v>-6.1700000000000001E-3</v>
      </c>
      <c r="M126">
        <v>0</v>
      </c>
      <c r="N126">
        <v>-6.6299999999999996E-3</v>
      </c>
      <c r="O126">
        <v>-5.5500000000000002E-3</v>
      </c>
      <c r="P126">
        <v>0</v>
      </c>
      <c r="Q126">
        <v>-5.5700000000000003E-3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3.8530000000000002E-2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</row>
    <row r="127" spans="1:35" hidden="1" outlineLevel="1" x14ac:dyDescent="0.25">
      <c r="A127" s="1">
        <v>42916</v>
      </c>
      <c r="B127" s="8">
        <v>1.3299999999999999E-2</v>
      </c>
      <c r="C127">
        <v>1.41E-2</v>
      </c>
      <c r="D127">
        <v>4.8137750908554544E-3</v>
      </c>
      <c r="E127">
        <v>-5.7200000000000003E-3</v>
      </c>
      <c r="F127">
        <v>-2.6800000000000001E-3</v>
      </c>
      <c r="G127">
        <v>0</v>
      </c>
      <c r="H127">
        <v>8.26E-3</v>
      </c>
      <c r="I127">
        <v>3.8300000000000001E-3</v>
      </c>
      <c r="J127">
        <v>1.9300000000000001E-3</v>
      </c>
      <c r="K127">
        <v>0</v>
      </c>
      <c r="L127">
        <v>-1.6299999999999999E-3</v>
      </c>
      <c r="M127">
        <v>0</v>
      </c>
      <c r="N127">
        <v>-1.57E-3</v>
      </c>
      <c r="O127">
        <v>-4.6999999999999999E-4</v>
      </c>
      <c r="P127">
        <v>0</v>
      </c>
      <c r="Q127">
        <v>1.1259999999999999E-2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1.4999999999999999E-4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</row>
    <row r="128" spans="1:35" hidden="1" outlineLevel="1" x14ac:dyDescent="0.25">
      <c r="A128" s="1">
        <v>42947</v>
      </c>
      <c r="B128" s="8">
        <v>2.87E-2</v>
      </c>
      <c r="C128">
        <v>2.2800000000000001E-2</v>
      </c>
      <c r="D128">
        <v>1.9348826118030571E-2</v>
      </c>
      <c r="E128">
        <v>3.2699999999999999E-3</v>
      </c>
      <c r="F128">
        <v>2.0400000000000001E-3</v>
      </c>
      <c r="G128">
        <v>0</v>
      </c>
      <c r="H128">
        <v>-5.8E-4</v>
      </c>
      <c r="I128">
        <v>9.7999999999999997E-4</v>
      </c>
      <c r="J128">
        <v>6.77E-3</v>
      </c>
      <c r="K128">
        <v>0</v>
      </c>
      <c r="L128">
        <v>3.81E-3</v>
      </c>
      <c r="M128">
        <v>0</v>
      </c>
      <c r="N128">
        <v>4.1999999999999997E-3</v>
      </c>
      <c r="O128">
        <v>-5.1799999999999997E-3</v>
      </c>
      <c r="P128">
        <v>0</v>
      </c>
      <c r="Q128">
        <v>9.7999999999999997E-4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1.242E-2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</row>
    <row r="129" spans="1:35" hidden="1" outlineLevel="1" x14ac:dyDescent="0.25">
      <c r="A129" s="1">
        <v>42978</v>
      </c>
      <c r="B129" s="8">
        <v>-1.1000000000000001E-3</v>
      </c>
      <c r="C129">
        <v>2.7000000000000001E-3</v>
      </c>
      <c r="D129">
        <v>5.4643281108557318E-4</v>
      </c>
      <c r="E129">
        <v>1.069E-2</v>
      </c>
      <c r="F129">
        <v>-7.2999999999999996E-4</v>
      </c>
      <c r="G129">
        <v>0</v>
      </c>
      <c r="H129">
        <v>-4.6000000000000001E-4</v>
      </c>
      <c r="I129">
        <v>-1.1800000000000001E-3</v>
      </c>
      <c r="J129">
        <v>3.1099999999999999E-3</v>
      </c>
      <c r="K129">
        <v>0</v>
      </c>
      <c r="L129">
        <v>-3.7699999999999999E-3</v>
      </c>
      <c r="M129">
        <v>0</v>
      </c>
      <c r="N129">
        <v>-7.9399999999999991E-3</v>
      </c>
      <c r="O129">
        <v>-4.1399999999999996E-3</v>
      </c>
      <c r="P129">
        <v>0</v>
      </c>
      <c r="Q129">
        <v>-9.8999999999999999E-4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4.3499999999999997E-3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</row>
    <row r="130" spans="1:35" hidden="1" outlineLevel="1" x14ac:dyDescent="0.25">
      <c r="A130" s="1">
        <v>43007</v>
      </c>
      <c r="B130" s="8">
        <v>3.3000000000000002E-2</v>
      </c>
      <c r="C130">
        <v>2.3800000000000002E-2</v>
      </c>
      <c r="D130">
        <v>1.9302978533243698E-2</v>
      </c>
      <c r="E130">
        <v>-6.0200000000000002E-3</v>
      </c>
      <c r="F130">
        <v>-1.9599999999999999E-3</v>
      </c>
      <c r="G130">
        <v>0</v>
      </c>
      <c r="H130">
        <v>6.0699999999999999E-3</v>
      </c>
      <c r="I130">
        <v>6.7000000000000002E-3</v>
      </c>
      <c r="J130">
        <v>6.1500000000000001E-3</v>
      </c>
      <c r="K130">
        <v>0</v>
      </c>
      <c r="L130">
        <v>1.464E-2</v>
      </c>
      <c r="M130">
        <v>0</v>
      </c>
      <c r="N130">
        <v>-2.5999999999999999E-3</v>
      </c>
      <c r="O130">
        <v>-5.2999999999999998E-4</v>
      </c>
      <c r="P130">
        <v>0</v>
      </c>
      <c r="Q130">
        <v>5.0800000000000003E-3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5.5100000000000001E-3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</row>
    <row r="131" spans="1:35" hidden="1" outlineLevel="1" x14ac:dyDescent="0.25">
      <c r="A131" s="1">
        <v>43039</v>
      </c>
      <c r="B131" s="8">
        <v>5.45E-2</v>
      </c>
      <c r="C131">
        <v>3.56E-2</v>
      </c>
      <c r="D131">
        <v>2.218813533034969E-2</v>
      </c>
      <c r="E131">
        <v>9.6799999999999994E-3</v>
      </c>
      <c r="F131">
        <v>1.4970000000000001E-2</v>
      </c>
      <c r="G131">
        <v>0</v>
      </c>
      <c r="H131">
        <v>8.09E-3</v>
      </c>
      <c r="I131">
        <v>5.3099999999999996E-3</v>
      </c>
      <c r="J131">
        <v>9.5200000000000007E-3</v>
      </c>
      <c r="K131">
        <v>0</v>
      </c>
      <c r="L131">
        <v>2.7299999999999998E-3</v>
      </c>
      <c r="M131">
        <v>0</v>
      </c>
      <c r="N131">
        <v>-7.6999999999999996E-4</v>
      </c>
      <c r="O131">
        <v>-1.6629999999999999E-2</v>
      </c>
      <c r="P131">
        <v>0</v>
      </c>
      <c r="Q131">
        <v>5.9300000000000004E-3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1.5679999999999999E-2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</row>
    <row r="132" spans="1:35" hidden="1" outlineLevel="1" x14ac:dyDescent="0.25">
      <c r="A132" s="1">
        <v>43069</v>
      </c>
      <c r="B132" s="8">
        <v>2.0500000000000001E-2</v>
      </c>
      <c r="C132">
        <v>3.3300000000000003E-2</v>
      </c>
      <c r="D132">
        <v>2.808262766445857E-2</v>
      </c>
      <c r="E132">
        <v>2.0400000000000001E-3</v>
      </c>
      <c r="F132">
        <v>6.4700000000000001E-3</v>
      </c>
      <c r="G132">
        <v>0</v>
      </c>
      <c r="H132">
        <v>3.29E-3</v>
      </c>
      <c r="I132">
        <v>6.45E-3</v>
      </c>
      <c r="J132">
        <v>3.9399999999999999E-3</v>
      </c>
      <c r="K132">
        <v>0</v>
      </c>
      <c r="L132">
        <v>-5.2999999999999998E-4</v>
      </c>
      <c r="M132">
        <v>0</v>
      </c>
      <c r="N132">
        <v>7.1700000000000002E-3</v>
      </c>
      <c r="O132">
        <v>-9.2800000000000001E-3</v>
      </c>
      <c r="P132">
        <v>0</v>
      </c>
      <c r="Q132">
        <v>3.8899999999999998E-3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-2.8800000000000002E-3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</row>
    <row r="133" spans="1:35" hidden="1" outlineLevel="1" x14ac:dyDescent="0.25">
      <c r="A133" s="1">
        <v>43098</v>
      </c>
      <c r="B133" s="8">
        <v>2.3300000000000001E-2</v>
      </c>
      <c r="C133">
        <v>1.46E-2</v>
      </c>
      <c r="D133">
        <v>9.8316304826040479E-3</v>
      </c>
      <c r="E133">
        <v>-1.5200000000000001E-3</v>
      </c>
      <c r="F133">
        <v>-6.2E-4</v>
      </c>
      <c r="G133">
        <v>0</v>
      </c>
      <c r="H133">
        <v>4.79E-3</v>
      </c>
      <c r="I133">
        <v>3.0000000000000001E-3</v>
      </c>
      <c r="J133">
        <v>1.1639999999999999E-2</v>
      </c>
      <c r="K133">
        <v>0</v>
      </c>
      <c r="L133">
        <v>7.8799999999999999E-3</v>
      </c>
      <c r="M133">
        <v>0</v>
      </c>
      <c r="N133">
        <v>3.3700000000000002E-3</v>
      </c>
      <c r="O133">
        <v>-3.9399999999999999E-3</v>
      </c>
      <c r="P133">
        <v>0</v>
      </c>
      <c r="Q133">
        <v>2.32E-3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-3.5899999999999999E-3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</row>
    <row r="134" spans="1:35" hidden="1" outlineLevel="1" x14ac:dyDescent="0.25">
      <c r="A134" s="1">
        <v>43131</v>
      </c>
      <c r="B134" s="8">
        <v>0.1087</v>
      </c>
      <c r="C134">
        <v>5.0900000000000001E-2</v>
      </c>
      <c r="D134">
        <v>5.6178704444133087E-2</v>
      </c>
      <c r="E134">
        <v>-1.06E-3</v>
      </c>
      <c r="F134">
        <v>2.4060000000000002E-2</v>
      </c>
      <c r="G134">
        <v>2.0160000000000001E-2</v>
      </c>
      <c r="H134">
        <v>8.3999999999999995E-3</v>
      </c>
      <c r="I134">
        <v>9.3600000000000003E-3</v>
      </c>
      <c r="J134">
        <v>3.79E-3</v>
      </c>
      <c r="K134">
        <v>0</v>
      </c>
      <c r="L134">
        <v>7.1399999999999996E-3</v>
      </c>
      <c r="M134">
        <v>0</v>
      </c>
      <c r="N134">
        <v>1.08E-3</v>
      </c>
      <c r="O134">
        <v>0</v>
      </c>
      <c r="P134">
        <v>0</v>
      </c>
      <c r="Q134">
        <v>8.6899999999999998E-3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2.7029999999999998E-2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</row>
    <row r="135" spans="1:35" hidden="1" outlineLevel="1" x14ac:dyDescent="0.25">
      <c r="A135" s="1">
        <v>43159</v>
      </c>
      <c r="B135" s="8">
        <v>-7.1000000000000004E-3</v>
      </c>
      <c r="C135">
        <v>-4.5600000000000002E-2</v>
      </c>
      <c r="D135">
        <v>-3.8947372061896912E-2</v>
      </c>
      <c r="E135">
        <v>6.7600000000000004E-3</v>
      </c>
      <c r="F135">
        <v>4.2399999999999998E-3</v>
      </c>
      <c r="G135">
        <v>2.6900000000000001E-3</v>
      </c>
      <c r="H135">
        <v>3.1E-4</v>
      </c>
      <c r="I135">
        <v>-2.2000000000000001E-3</v>
      </c>
      <c r="J135">
        <v>-5.0099999999999997E-3</v>
      </c>
      <c r="K135">
        <v>0</v>
      </c>
      <c r="L135">
        <v>-7.1700000000000002E-3</v>
      </c>
      <c r="M135">
        <v>0</v>
      </c>
      <c r="N135">
        <v>-5.0699999999999999E-3</v>
      </c>
      <c r="O135">
        <v>0</v>
      </c>
      <c r="P135">
        <v>0</v>
      </c>
      <c r="Q135">
        <v>-1.4999999999999999E-4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-1.48E-3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</row>
    <row r="136" spans="1:35" hidden="1" outlineLevel="1" x14ac:dyDescent="0.25">
      <c r="A136" s="1">
        <v>43188</v>
      </c>
      <c r="B136" s="8">
        <v>-3.39E-2</v>
      </c>
      <c r="C136">
        <v>-1.9400000000000001E-2</v>
      </c>
      <c r="D136">
        <v>-2.6884498624825115E-2</v>
      </c>
      <c r="E136">
        <v>-5.8100000000000001E-3</v>
      </c>
      <c r="F136">
        <v>-4.3E-3</v>
      </c>
      <c r="G136">
        <v>-9.4800000000000006E-3</v>
      </c>
      <c r="H136">
        <v>-6.1999999999999998E-3</v>
      </c>
      <c r="I136">
        <v>-8.8000000000000003E-4</v>
      </c>
      <c r="J136">
        <v>-4.6899999999999997E-3</v>
      </c>
      <c r="K136">
        <v>0</v>
      </c>
      <c r="L136">
        <v>9.1699999999999993E-3</v>
      </c>
      <c r="M136">
        <v>0</v>
      </c>
      <c r="N136">
        <v>-2.64E-3</v>
      </c>
      <c r="O136">
        <v>0</v>
      </c>
      <c r="P136">
        <v>0</v>
      </c>
      <c r="Q136">
        <v>-4.79E-3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-4.3E-3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</row>
    <row r="137" spans="1:35" hidden="1" outlineLevel="1" x14ac:dyDescent="0.25">
      <c r="A137" s="1">
        <v>43220</v>
      </c>
      <c r="B137" s="8">
        <v>9.9000000000000008E-3</v>
      </c>
      <c r="C137">
        <v>5.4000000000000003E-3</v>
      </c>
      <c r="D137">
        <v>2.718775131643536E-3</v>
      </c>
      <c r="E137">
        <v>-1.5E-3</v>
      </c>
      <c r="F137">
        <v>8.2100000000000003E-3</v>
      </c>
      <c r="G137">
        <v>1.73E-3</v>
      </c>
      <c r="H137">
        <v>-2.3000000000000001E-4</v>
      </c>
      <c r="I137">
        <v>-3.7299999999999998E-3</v>
      </c>
      <c r="J137">
        <v>-1.5200000000000001E-3</v>
      </c>
      <c r="K137">
        <v>0</v>
      </c>
      <c r="L137">
        <v>1.047E-2</v>
      </c>
      <c r="M137">
        <v>0</v>
      </c>
      <c r="N137">
        <v>-1.1E-4</v>
      </c>
      <c r="O137">
        <v>0</v>
      </c>
      <c r="P137">
        <v>0</v>
      </c>
      <c r="Q137">
        <v>-5.6999999999999998E-4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-2.8900000000000002E-3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</row>
    <row r="138" spans="1:35" hidden="1" outlineLevel="1" x14ac:dyDescent="0.25">
      <c r="A138" s="1">
        <v>43251</v>
      </c>
      <c r="B138" s="8">
        <v>4.1799999999999997E-2</v>
      </c>
      <c r="C138">
        <v>2.52E-2</v>
      </c>
      <c r="D138">
        <v>2.1608341965291933E-2</v>
      </c>
      <c r="E138">
        <v>1.3520000000000001E-2</v>
      </c>
      <c r="F138">
        <v>4.0499999999999998E-3</v>
      </c>
      <c r="G138">
        <v>6.0899999999999999E-3</v>
      </c>
      <c r="H138">
        <v>-2.5400000000000002E-3</v>
      </c>
      <c r="I138">
        <v>2.4399999999999999E-3</v>
      </c>
      <c r="J138">
        <v>5.2300000000000003E-3</v>
      </c>
      <c r="K138">
        <v>0</v>
      </c>
      <c r="L138">
        <v>3.32E-3</v>
      </c>
      <c r="M138">
        <v>0</v>
      </c>
      <c r="N138">
        <v>-8.5999999999999998E-4</v>
      </c>
      <c r="O138">
        <v>0</v>
      </c>
      <c r="P138">
        <v>0</v>
      </c>
      <c r="Q138">
        <v>-1.6299999999999999E-3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1.2200000000000001E-2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</row>
    <row r="139" spans="1:35" hidden="1" outlineLevel="1" x14ac:dyDescent="0.25">
      <c r="A139" s="1">
        <v>43280</v>
      </c>
      <c r="B139" s="8">
        <v>-2.1000000000000001E-2</v>
      </c>
      <c r="C139">
        <v>1.4E-3</v>
      </c>
      <c r="D139">
        <v>4.8424360241865472E-3</v>
      </c>
      <c r="E139">
        <v>-9.3999999999999997E-4</v>
      </c>
      <c r="F139">
        <v>4.3099999999999996E-3</v>
      </c>
      <c r="G139">
        <v>-4.7299999999999998E-3</v>
      </c>
      <c r="H139">
        <v>-2.9299999999999999E-3</v>
      </c>
      <c r="I139">
        <v>-6.0499999999999998E-3</v>
      </c>
      <c r="J139">
        <v>-1.069E-2</v>
      </c>
      <c r="K139">
        <v>0</v>
      </c>
      <c r="L139">
        <v>3.31E-3</v>
      </c>
      <c r="M139">
        <v>0</v>
      </c>
      <c r="N139">
        <v>5.3699999999999998E-3</v>
      </c>
      <c r="O139">
        <v>0</v>
      </c>
      <c r="P139">
        <v>0</v>
      </c>
      <c r="Q139">
        <v>-2.63E-3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-6.0600000000000003E-3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</row>
    <row r="140" spans="1:35" hidden="1" outlineLevel="1" x14ac:dyDescent="0.25">
      <c r="A140" s="1">
        <v>43312</v>
      </c>
      <c r="B140" s="8">
        <v>5.79E-2</v>
      </c>
      <c r="C140">
        <v>4.2500000000000003E-2</v>
      </c>
      <c r="D140">
        <v>3.6021556221367268E-2</v>
      </c>
      <c r="E140">
        <v>2.8E-3</v>
      </c>
      <c r="F140">
        <v>4.5700000000000003E-3</v>
      </c>
      <c r="G140">
        <v>6.1999999999999998E-3</v>
      </c>
      <c r="H140">
        <v>9.5399999999999999E-3</v>
      </c>
      <c r="I140">
        <v>7.5000000000000002E-4</v>
      </c>
      <c r="J140">
        <v>6.6299999999999996E-3</v>
      </c>
      <c r="K140">
        <v>0</v>
      </c>
      <c r="L140">
        <v>4.0699999999999998E-3</v>
      </c>
      <c r="M140">
        <v>0</v>
      </c>
      <c r="N140">
        <v>9.1500000000000001E-3</v>
      </c>
      <c r="O140">
        <v>0</v>
      </c>
      <c r="P140">
        <v>0</v>
      </c>
      <c r="Q140">
        <v>1.085E-2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3.3600000000000001E-3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</row>
    <row r="141" spans="1:35" hidden="1" outlineLevel="1" x14ac:dyDescent="0.25">
      <c r="A141" s="1">
        <v>43343</v>
      </c>
      <c r="B141" s="8">
        <v>3.6700000000000003E-2</v>
      </c>
      <c r="C141">
        <v>1.8200000000000001E-2</v>
      </c>
      <c r="D141">
        <v>3.0263211466054596E-2</v>
      </c>
      <c r="E141">
        <v>2.001E-2</v>
      </c>
      <c r="F141">
        <v>1.324E-2</v>
      </c>
      <c r="G141">
        <v>-3.31E-3</v>
      </c>
      <c r="H141">
        <v>1.6000000000000001E-4</v>
      </c>
      <c r="I141">
        <v>-4.7099999999999998E-3</v>
      </c>
      <c r="J141">
        <v>-3.4399999999999999E-3</v>
      </c>
      <c r="K141">
        <v>0</v>
      </c>
      <c r="L141">
        <v>1.75E-3</v>
      </c>
      <c r="M141">
        <v>0</v>
      </c>
      <c r="N141">
        <v>-1.3600000000000001E-3</v>
      </c>
      <c r="O141">
        <v>0</v>
      </c>
      <c r="P141">
        <v>0</v>
      </c>
      <c r="Q141">
        <v>-3.2000000000000003E-4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1.469E-2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</row>
    <row r="142" spans="1:35" hidden="1" outlineLevel="1" x14ac:dyDescent="0.25">
      <c r="A142" s="1">
        <v>43371</v>
      </c>
      <c r="B142" s="8">
        <v>2.0199999999999999E-2</v>
      </c>
      <c r="C142">
        <v>1.44E-2</v>
      </c>
      <c r="D142">
        <v>4.2942871026614426E-3</v>
      </c>
      <c r="E142">
        <v>-8.3000000000000001E-4</v>
      </c>
      <c r="F142">
        <v>-4.8000000000000001E-4</v>
      </c>
      <c r="G142">
        <v>8.4899999999999993E-3</v>
      </c>
      <c r="H142">
        <v>-4.2700000000000004E-3</v>
      </c>
      <c r="I142">
        <v>-9.6000000000000002E-4</v>
      </c>
      <c r="J142">
        <v>9.8200000000000006E-3</v>
      </c>
      <c r="K142">
        <v>0</v>
      </c>
      <c r="L142">
        <v>5.4099999999999999E-3</v>
      </c>
      <c r="M142">
        <v>0</v>
      </c>
      <c r="N142">
        <v>4.3899999999999998E-3</v>
      </c>
      <c r="O142">
        <v>0</v>
      </c>
      <c r="P142">
        <v>0</v>
      </c>
      <c r="Q142">
        <v>-1.5200000000000001E-3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1.2E-4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</row>
    <row r="143" spans="1:35" hidden="1" outlineLevel="1" x14ac:dyDescent="0.25">
      <c r="A143" s="1">
        <v>43404</v>
      </c>
      <c r="B143" s="8">
        <v>-0.10580000000000001</v>
      </c>
      <c r="C143">
        <v>-6.8599999999999994E-2</v>
      </c>
      <c r="D143">
        <v>-6.9403356024429486E-2</v>
      </c>
      <c r="E143">
        <v>-3.0500000000000002E-3</v>
      </c>
      <c r="F143">
        <v>-2.0219999999999998E-2</v>
      </c>
      <c r="G143">
        <v>-4.5799999999999999E-3</v>
      </c>
      <c r="H143">
        <v>-6.6499999999999997E-3</v>
      </c>
      <c r="I143">
        <v>-1.2710000000000001E-2</v>
      </c>
      <c r="J143">
        <v>-1.9879999999999998E-2</v>
      </c>
      <c r="K143">
        <v>0</v>
      </c>
      <c r="L143">
        <v>-9.2999999999999992E-3</v>
      </c>
      <c r="M143">
        <v>0</v>
      </c>
      <c r="N143">
        <v>-1.8E-3</v>
      </c>
      <c r="O143">
        <v>0</v>
      </c>
      <c r="P143">
        <v>0</v>
      </c>
      <c r="Q143">
        <v>-2.6800000000000001E-3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-2.4979999999999999E-2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</row>
    <row r="144" spans="1:35" hidden="1" outlineLevel="1" x14ac:dyDescent="0.25">
      <c r="A144" s="1">
        <v>43434</v>
      </c>
      <c r="B144" s="8">
        <v>-2.01E-2</v>
      </c>
      <c r="C144">
        <v>1.6E-2</v>
      </c>
      <c r="D144">
        <v>1.7859356788848979E-2</v>
      </c>
      <c r="E144">
        <v>-1.8069999999999999E-2</v>
      </c>
      <c r="F144">
        <v>5.77E-3</v>
      </c>
      <c r="G144">
        <v>-1.8E-3</v>
      </c>
      <c r="H144">
        <v>3.2699999999999999E-3</v>
      </c>
      <c r="I144">
        <v>4.0299999999999997E-3</v>
      </c>
      <c r="J144">
        <v>1.183E-2</v>
      </c>
      <c r="K144">
        <v>0</v>
      </c>
      <c r="L144">
        <v>-5.3200000000000001E-3</v>
      </c>
      <c r="M144">
        <v>0</v>
      </c>
      <c r="N144">
        <v>5.6999999999999998E-4</v>
      </c>
      <c r="O144">
        <v>0</v>
      </c>
      <c r="P144">
        <v>0</v>
      </c>
      <c r="Q144">
        <v>1.99E-3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-2.2409999999999999E-2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</row>
    <row r="145" spans="1:35" hidden="1" outlineLevel="1" x14ac:dyDescent="0.25">
      <c r="A145" s="1">
        <v>43465</v>
      </c>
      <c r="B145" s="8">
        <v>-9.69E-2</v>
      </c>
      <c r="C145">
        <v>-7.9899999999999999E-2</v>
      </c>
      <c r="D145">
        <v>-9.1776894596563907E-2</v>
      </c>
      <c r="E145">
        <v>-1.167E-2</v>
      </c>
      <c r="F145">
        <v>-1.1140000000000001E-2</v>
      </c>
      <c r="G145">
        <v>-7.0000000000000001E-3</v>
      </c>
      <c r="H145">
        <v>-1.2710000000000001E-2</v>
      </c>
      <c r="I145">
        <v>-7.4900000000000001E-3</v>
      </c>
      <c r="J145">
        <v>-6.3400000000000001E-3</v>
      </c>
      <c r="K145">
        <v>0</v>
      </c>
      <c r="L145">
        <v>-5.79E-3</v>
      </c>
      <c r="M145">
        <v>0</v>
      </c>
      <c r="N145">
        <v>-4.2900000000000004E-3</v>
      </c>
      <c r="O145">
        <v>0</v>
      </c>
      <c r="P145">
        <v>0</v>
      </c>
      <c r="Q145">
        <v>-1.2200000000000001E-2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-1.831E-2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</row>
    <row r="146" spans="1:35" hidden="1" outlineLevel="1" x14ac:dyDescent="0.25">
      <c r="A146" s="1">
        <v>43496</v>
      </c>
      <c r="B146" s="8">
        <v>8.0299999999999996E-2</v>
      </c>
      <c r="C146">
        <v>7.6399999999999996E-2</v>
      </c>
      <c r="D146">
        <v>7.8684401655036762E-2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-1.7099999999999999E-3</v>
      </c>
      <c r="N146">
        <v>0</v>
      </c>
      <c r="O146">
        <v>3.4209999999999997E-2</v>
      </c>
      <c r="P146">
        <v>3.1199999999999999E-3</v>
      </c>
      <c r="Q146">
        <v>0</v>
      </c>
      <c r="R146">
        <v>1.65E-3</v>
      </c>
      <c r="S146">
        <v>6.8000000000000005E-4</v>
      </c>
      <c r="T146">
        <v>0</v>
      </c>
      <c r="U146">
        <v>0</v>
      </c>
      <c r="V146">
        <v>1.044E-2</v>
      </c>
      <c r="W146">
        <v>0</v>
      </c>
      <c r="X146">
        <v>0</v>
      </c>
      <c r="Y146">
        <v>0</v>
      </c>
      <c r="Z146">
        <v>0</v>
      </c>
      <c r="AA146">
        <v>5.7299999999999999E-3</v>
      </c>
      <c r="AB146">
        <v>1.0659999999999999E-2</v>
      </c>
      <c r="AC146">
        <v>8.4100000000000008E-3</v>
      </c>
      <c r="AD146">
        <v>7.11E-3</v>
      </c>
      <c r="AE146">
        <v>0</v>
      </c>
      <c r="AF146">
        <v>0</v>
      </c>
      <c r="AG146">
        <v>0</v>
      </c>
      <c r="AH146">
        <v>0</v>
      </c>
      <c r="AI146">
        <v>0</v>
      </c>
    </row>
    <row r="147" spans="1:35" hidden="1" outlineLevel="1" x14ac:dyDescent="0.25">
      <c r="A147" s="1">
        <v>43524</v>
      </c>
      <c r="B147" s="8">
        <v>2.8500000000000001E-2</v>
      </c>
      <c r="C147">
        <v>3.3599999999999998E-2</v>
      </c>
      <c r="D147">
        <v>2.9728889126352298E-2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6.79E-3</v>
      </c>
      <c r="N147">
        <v>0</v>
      </c>
      <c r="O147">
        <v>6.1700000000000001E-3</v>
      </c>
      <c r="P147">
        <v>3.3500000000000001E-3</v>
      </c>
      <c r="Q147">
        <v>0</v>
      </c>
      <c r="R147">
        <v>-5.7999999999999996E-3</v>
      </c>
      <c r="S147">
        <v>3.48E-3</v>
      </c>
      <c r="T147">
        <v>0</v>
      </c>
      <c r="U147">
        <v>0</v>
      </c>
      <c r="V147">
        <v>4.7000000000000002E-3</v>
      </c>
      <c r="W147">
        <v>0</v>
      </c>
      <c r="X147">
        <v>0</v>
      </c>
      <c r="Y147">
        <v>0</v>
      </c>
      <c r="Z147">
        <v>0</v>
      </c>
      <c r="AA147">
        <v>2.16E-3</v>
      </c>
      <c r="AB147">
        <v>3.48E-3</v>
      </c>
      <c r="AC147">
        <v>5.9999999999999995E-4</v>
      </c>
      <c r="AD147">
        <v>3.5300000000000002E-3</v>
      </c>
      <c r="AE147">
        <v>0</v>
      </c>
      <c r="AF147">
        <v>0</v>
      </c>
      <c r="AG147">
        <v>0</v>
      </c>
      <c r="AH147">
        <v>0</v>
      </c>
      <c r="AI147">
        <v>0</v>
      </c>
    </row>
    <row r="148" spans="1:35" hidden="1" outlineLevel="1" x14ac:dyDescent="0.25">
      <c r="A148" s="1">
        <v>43553</v>
      </c>
      <c r="B148" s="8">
        <v>1.9E-2</v>
      </c>
      <c r="C148">
        <v>1.41E-2</v>
      </c>
      <c r="D148">
        <v>1.7924256211817147E-2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3.47E-3</v>
      </c>
      <c r="N148">
        <v>0</v>
      </c>
      <c r="O148">
        <v>-3.7499999999999999E-3</v>
      </c>
      <c r="P148">
        <v>2.31E-3</v>
      </c>
      <c r="Q148">
        <v>0</v>
      </c>
      <c r="R148">
        <v>4.2300000000000003E-3</v>
      </c>
      <c r="S148">
        <v>3.3E-3</v>
      </c>
      <c r="T148">
        <v>0</v>
      </c>
      <c r="U148">
        <v>0</v>
      </c>
      <c r="V148">
        <v>-1.5200000000000001E-3</v>
      </c>
      <c r="W148">
        <v>0</v>
      </c>
      <c r="X148">
        <v>0</v>
      </c>
      <c r="Y148">
        <v>0</v>
      </c>
      <c r="Z148">
        <v>0</v>
      </c>
      <c r="AA148">
        <v>5.5799999999999999E-3</v>
      </c>
      <c r="AB148">
        <v>4.0000000000000001E-3</v>
      </c>
      <c r="AC148">
        <v>5.8E-4</v>
      </c>
      <c r="AD148">
        <v>7.6999999999999996E-4</v>
      </c>
      <c r="AE148">
        <v>0</v>
      </c>
      <c r="AF148">
        <v>0</v>
      </c>
      <c r="AG148">
        <v>0</v>
      </c>
      <c r="AH148">
        <v>0</v>
      </c>
      <c r="AI148">
        <v>0</v>
      </c>
    </row>
    <row r="149" spans="1:35" hidden="1" outlineLevel="1" x14ac:dyDescent="0.25">
      <c r="A149" s="1">
        <v>43585</v>
      </c>
      <c r="B149" s="8">
        <v>1.9099999999999999E-2</v>
      </c>
      <c r="C149">
        <v>3.1300000000000001E-2</v>
      </c>
      <c r="D149">
        <v>3.9313498395682656E-2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1.58E-3</v>
      </c>
      <c r="N149">
        <v>0</v>
      </c>
      <c r="O149">
        <v>1.8E-3</v>
      </c>
      <c r="P149">
        <v>1.01E-3</v>
      </c>
      <c r="Q149">
        <v>0</v>
      </c>
      <c r="R149">
        <v>4.6899999999999997E-3</v>
      </c>
      <c r="S149">
        <v>4.0400000000000002E-3</v>
      </c>
      <c r="T149">
        <v>0</v>
      </c>
      <c r="U149">
        <v>0</v>
      </c>
      <c r="V149">
        <v>4.3E-3</v>
      </c>
      <c r="W149">
        <v>0</v>
      </c>
      <c r="X149">
        <v>0</v>
      </c>
      <c r="Y149">
        <v>0</v>
      </c>
      <c r="Z149">
        <v>0</v>
      </c>
      <c r="AA149">
        <v>3.0500000000000002E-3</v>
      </c>
      <c r="AB149">
        <v>2.98E-3</v>
      </c>
      <c r="AC149">
        <v>-4.6699999999999997E-3</v>
      </c>
      <c r="AD149">
        <v>3.5E-4</v>
      </c>
      <c r="AE149">
        <v>0</v>
      </c>
      <c r="AF149">
        <v>0</v>
      </c>
      <c r="AG149">
        <v>0</v>
      </c>
      <c r="AH149">
        <v>0</v>
      </c>
      <c r="AI149">
        <v>0</v>
      </c>
    </row>
    <row r="150" spans="1:35" hidden="1" outlineLevel="1" x14ac:dyDescent="0.25">
      <c r="A150" s="1">
        <v>43616</v>
      </c>
      <c r="B150" s="8">
        <v>-3.6299999999999999E-2</v>
      </c>
      <c r="C150">
        <v>-6.9000000000000006E-2</v>
      </c>
      <c r="D150">
        <v>-6.577773118928687E-2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-3.4499999999999999E-3</v>
      </c>
      <c r="N150">
        <v>0</v>
      </c>
      <c r="O150">
        <v>-7.1799999999999998E-3</v>
      </c>
      <c r="P150">
        <v>-6.4400000000000004E-3</v>
      </c>
      <c r="Q150">
        <v>0</v>
      </c>
      <c r="R150">
        <v>1.3999999999999999E-4</v>
      </c>
      <c r="S150">
        <v>9.3999999999999997E-4</v>
      </c>
      <c r="T150">
        <v>0</v>
      </c>
      <c r="U150">
        <v>0</v>
      </c>
      <c r="V150">
        <v>-1.192E-2</v>
      </c>
      <c r="W150">
        <v>0</v>
      </c>
      <c r="X150">
        <v>0</v>
      </c>
      <c r="Y150">
        <v>0</v>
      </c>
      <c r="Z150">
        <v>0</v>
      </c>
      <c r="AA150">
        <v>-3.3500000000000001E-3</v>
      </c>
      <c r="AB150">
        <v>1.6900000000000001E-3</v>
      </c>
      <c r="AC150">
        <v>-5.4999999999999997E-3</v>
      </c>
      <c r="AD150">
        <v>-1.23E-3</v>
      </c>
      <c r="AE150">
        <v>0</v>
      </c>
      <c r="AF150">
        <v>0</v>
      </c>
      <c r="AG150">
        <v>0</v>
      </c>
      <c r="AH150">
        <v>0</v>
      </c>
      <c r="AI150">
        <v>0</v>
      </c>
    </row>
    <row r="151" spans="1:35" hidden="1" outlineLevel="1" x14ac:dyDescent="0.25">
      <c r="A151" s="1">
        <v>43644</v>
      </c>
      <c r="B151" s="8">
        <v>5.7599999999999998E-2</v>
      </c>
      <c r="C151">
        <v>7.2999999999999995E-2</v>
      </c>
      <c r="D151">
        <v>6.8930163925612131E-2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4.0699999999999998E-3</v>
      </c>
      <c r="N151">
        <v>0</v>
      </c>
      <c r="O151">
        <v>1.133E-2</v>
      </c>
      <c r="P151">
        <v>6.1999999999999998E-3</v>
      </c>
      <c r="Q151">
        <v>0</v>
      </c>
      <c r="R151">
        <v>4.4600000000000004E-3</v>
      </c>
      <c r="S151">
        <v>4.7400000000000003E-3</v>
      </c>
      <c r="T151">
        <v>0</v>
      </c>
      <c r="U151">
        <v>0</v>
      </c>
      <c r="V151">
        <v>8.8299999999999993E-3</v>
      </c>
      <c r="W151">
        <v>0</v>
      </c>
      <c r="X151">
        <v>0</v>
      </c>
      <c r="Y151">
        <v>0</v>
      </c>
      <c r="Z151">
        <v>0</v>
      </c>
      <c r="AA151">
        <v>6.5500000000000003E-3</v>
      </c>
      <c r="AB151">
        <v>3.3300000000000001E-3</v>
      </c>
      <c r="AC151">
        <v>-1.4400000000000001E-3</v>
      </c>
      <c r="AD151">
        <v>9.58E-3</v>
      </c>
      <c r="AE151">
        <v>0</v>
      </c>
      <c r="AF151">
        <v>0</v>
      </c>
      <c r="AG151">
        <v>0</v>
      </c>
      <c r="AH151">
        <v>0</v>
      </c>
      <c r="AI151">
        <v>0</v>
      </c>
    </row>
    <row r="152" spans="1:35" hidden="1" outlineLevel="1" x14ac:dyDescent="0.25">
      <c r="A152" s="1">
        <v>43677</v>
      </c>
      <c r="B152" s="8">
        <v>1.11E-2</v>
      </c>
      <c r="C152">
        <v>1.54E-2</v>
      </c>
      <c r="D152">
        <v>1.3128152149977756E-2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-3.9199999999999999E-3</v>
      </c>
      <c r="N152">
        <v>0</v>
      </c>
      <c r="O152">
        <v>-4.8000000000000001E-4</v>
      </c>
      <c r="P152">
        <v>-6.4999999999999997E-3</v>
      </c>
      <c r="Q152">
        <v>0</v>
      </c>
      <c r="R152">
        <v>3.3600000000000001E-3</v>
      </c>
      <c r="S152">
        <v>1.47E-3</v>
      </c>
      <c r="T152">
        <v>0</v>
      </c>
      <c r="U152">
        <v>0</v>
      </c>
      <c r="V152">
        <v>2.48E-3</v>
      </c>
      <c r="W152">
        <v>0</v>
      </c>
      <c r="X152">
        <v>0</v>
      </c>
      <c r="Y152">
        <v>0</v>
      </c>
      <c r="Z152">
        <v>0</v>
      </c>
      <c r="AA152">
        <v>8.3300000000000006E-3</v>
      </c>
      <c r="AB152">
        <v>1.66E-3</v>
      </c>
      <c r="AC152">
        <v>1.5299999999999999E-3</v>
      </c>
      <c r="AD152">
        <v>3.13E-3</v>
      </c>
      <c r="AE152">
        <v>0</v>
      </c>
      <c r="AF152">
        <v>0</v>
      </c>
      <c r="AG152">
        <v>0</v>
      </c>
      <c r="AH152">
        <v>0</v>
      </c>
      <c r="AI152">
        <v>0</v>
      </c>
    </row>
    <row r="153" spans="1:35" hidden="1" outlineLevel="1" x14ac:dyDescent="0.25">
      <c r="A153" s="1">
        <v>43707</v>
      </c>
      <c r="B153" s="8">
        <v>-6.8999999999999999E-3</v>
      </c>
      <c r="C153">
        <v>-2.7699999999999999E-2</v>
      </c>
      <c r="D153">
        <v>-1.8091627281326739E-2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4.4999999999999997E-3</v>
      </c>
      <c r="N153">
        <v>0</v>
      </c>
      <c r="O153">
        <v>-2.1049999999999999E-2</v>
      </c>
      <c r="P153">
        <v>-6.9999999999999999E-4</v>
      </c>
      <c r="Q153">
        <v>0</v>
      </c>
      <c r="R153">
        <v>4.5799999999999999E-3</v>
      </c>
      <c r="S153">
        <v>3.9899999999999996E-3</v>
      </c>
      <c r="T153">
        <v>0</v>
      </c>
      <c r="U153">
        <v>0</v>
      </c>
      <c r="V153">
        <v>-1.5200000000000001E-3</v>
      </c>
      <c r="W153">
        <v>0</v>
      </c>
      <c r="X153">
        <v>0</v>
      </c>
      <c r="Y153">
        <v>0</v>
      </c>
      <c r="Z153">
        <v>0</v>
      </c>
      <c r="AA153">
        <v>1.8600000000000001E-3</v>
      </c>
      <c r="AB153">
        <v>4.7699999999999999E-3</v>
      </c>
      <c r="AC153">
        <v>-6.8799999999999998E-3</v>
      </c>
      <c r="AD153">
        <v>3.5500000000000002E-3</v>
      </c>
      <c r="AE153">
        <v>0</v>
      </c>
      <c r="AF153">
        <v>0</v>
      </c>
      <c r="AG153">
        <v>0</v>
      </c>
      <c r="AH153">
        <v>0</v>
      </c>
      <c r="AI153">
        <v>0</v>
      </c>
    </row>
    <row r="154" spans="1:35" hidden="1" outlineLevel="1" x14ac:dyDescent="0.25">
      <c r="A154" s="1">
        <v>43738</v>
      </c>
      <c r="B154" s="8">
        <v>4.5400000000000003E-2</v>
      </c>
      <c r="C154">
        <v>3.6299999999999999E-2</v>
      </c>
      <c r="D154">
        <v>1.7181177829208583E-2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5.5700000000000003E-3</v>
      </c>
      <c r="N154">
        <v>0</v>
      </c>
      <c r="O154">
        <v>8.4799999999999997E-3</v>
      </c>
      <c r="P154">
        <v>7.9000000000000001E-4</v>
      </c>
      <c r="Q154">
        <v>0</v>
      </c>
      <c r="R154">
        <v>-3.6000000000000002E-4</v>
      </c>
      <c r="S154">
        <v>-1.5E-3</v>
      </c>
      <c r="T154">
        <v>0</v>
      </c>
      <c r="U154">
        <v>0</v>
      </c>
      <c r="V154">
        <v>1.115E-2</v>
      </c>
      <c r="W154">
        <v>0</v>
      </c>
      <c r="X154">
        <v>0</v>
      </c>
      <c r="Y154">
        <v>0</v>
      </c>
      <c r="Z154">
        <v>0</v>
      </c>
      <c r="AA154">
        <v>3.4499999999999999E-3</v>
      </c>
      <c r="AB154">
        <v>6.0200000000000002E-3</v>
      </c>
      <c r="AC154">
        <v>4.5100000000000001E-3</v>
      </c>
      <c r="AD154">
        <v>7.3200000000000001E-3</v>
      </c>
      <c r="AE154">
        <v>0</v>
      </c>
      <c r="AF154">
        <v>0</v>
      </c>
      <c r="AG154">
        <v>0</v>
      </c>
      <c r="AH154">
        <v>0</v>
      </c>
      <c r="AI154">
        <v>0</v>
      </c>
    </row>
    <row r="155" spans="1:35" hidden="1" outlineLevel="1" x14ac:dyDescent="0.25">
      <c r="A155" s="1">
        <v>43769</v>
      </c>
      <c r="B155" s="8">
        <v>4.4999999999999997E-3</v>
      </c>
      <c r="C155">
        <v>1.6299999999999999E-2</v>
      </c>
      <c r="D155">
        <v>2.0431770730503063E-2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1.8600000000000001E-3</v>
      </c>
      <c r="N155">
        <v>0</v>
      </c>
      <c r="O155">
        <v>1.163E-2</v>
      </c>
      <c r="P155">
        <v>2.0600000000000002E-3</v>
      </c>
      <c r="Q155">
        <v>0</v>
      </c>
      <c r="R155" s="2">
        <v>-2.0000000000000002E-5</v>
      </c>
      <c r="S155">
        <v>-8.3899999999999999E-3</v>
      </c>
      <c r="T155">
        <v>0</v>
      </c>
      <c r="U155">
        <v>0</v>
      </c>
      <c r="V155">
        <v>-4.6499999999999996E-3</v>
      </c>
      <c r="W155">
        <v>0</v>
      </c>
      <c r="X155">
        <v>0</v>
      </c>
      <c r="Y155">
        <v>0</v>
      </c>
      <c r="Z155">
        <v>0</v>
      </c>
      <c r="AA155">
        <v>6.9999999999999999E-4</v>
      </c>
      <c r="AB155">
        <v>1.4400000000000001E-3</v>
      </c>
      <c r="AC155">
        <v>-3.1900000000000001E-3</v>
      </c>
      <c r="AD155">
        <v>3.0699999999999998E-3</v>
      </c>
      <c r="AE155">
        <v>0</v>
      </c>
      <c r="AF155">
        <v>0</v>
      </c>
      <c r="AG155">
        <v>0</v>
      </c>
      <c r="AH155">
        <v>0</v>
      </c>
      <c r="AI155">
        <v>0</v>
      </c>
    </row>
    <row r="156" spans="1:35" hidden="1" outlineLevel="1" x14ac:dyDescent="0.25">
      <c r="A156" s="1">
        <v>43798</v>
      </c>
      <c r="B156" s="8">
        <v>1.83E-2</v>
      </c>
      <c r="C156">
        <v>3.8199999999999998E-2</v>
      </c>
      <c r="D156">
        <v>3.4047037421886195E-2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6.8000000000000005E-4</v>
      </c>
      <c r="N156">
        <v>0</v>
      </c>
      <c r="O156">
        <v>1.2930000000000001E-2</v>
      </c>
      <c r="P156">
        <v>4.8500000000000001E-3</v>
      </c>
      <c r="Q156">
        <v>0</v>
      </c>
      <c r="R156">
        <v>-1.16E-3</v>
      </c>
      <c r="S156">
        <v>-4.8999999999999998E-4</v>
      </c>
      <c r="T156">
        <v>0</v>
      </c>
      <c r="U156">
        <v>0</v>
      </c>
      <c r="V156">
        <v>4.6699999999999997E-3</v>
      </c>
      <c r="W156">
        <v>0</v>
      </c>
      <c r="X156">
        <v>0</v>
      </c>
      <c r="Y156">
        <v>0</v>
      </c>
      <c r="Z156">
        <v>0</v>
      </c>
      <c r="AA156">
        <v>-1.97E-3</v>
      </c>
      <c r="AB156" s="2">
        <v>-8.0000000000000007E-5</v>
      </c>
      <c r="AC156">
        <v>1.75E-3</v>
      </c>
      <c r="AD156">
        <v>-2.8800000000000002E-3</v>
      </c>
      <c r="AE156">
        <v>0</v>
      </c>
      <c r="AF156">
        <v>0</v>
      </c>
      <c r="AG156">
        <v>0</v>
      </c>
      <c r="AH156">
        <v>0</v>
      </c>
      <c r="AI156">
        <v>0</v>
      </c>
    </row>
    <row r="157" spans="1:35" hidden="1" outlineLevel="1" x14ac:dyDescent="0.25">
      <c r="A157" s="1">
        <v>43830</v>
      </c>
      <c r="B157" s="8">
        <v>2.7699999999999999E-2</v>
      </c>
      <c r="C157">
        <v>3.0300000000000001E-2</v>
      </c>
      <c r="D157">
        <v>2.8589818964716907E-2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7.6000000000000004E-4</v>
      </c>
      <c r="N157">
        <v>0</v>
      </c>
      <c r="O157">
        <v>-8.8999999999999995E-4</v>
      </c>
      <c r="P157">
        <v>6.1000000000000004E-3</v>
      </c>
      <c r="Q157">
        <v>0</v>
      </c>
      <c r="R157">
        <v>3.65E-3</v>
      </c>
      <c r="S157">
        <v>1.6100000000000001E-3</v>
      </c>
      <c r="T157">
        <v>0</v>
      </c>
      <c r="U157">
        <v>0</v>
      </c>
      <c r="V157">
        <v>8.3599999999999994E-3</v>
      </c>
      <c r="W157">
        <v>0</v>
      </c>
      <c r="X157">
        <v>0</v>
      </c>
      <c r="Y157">
        <v>0</v>
      </c>
      <c r="Z157">
        <v>0</v>
      </c>
      <c r="AA157">
        <v>2.33E-3</v>
      </c>
      <c r="AB157">
        <v>2.7599999999999999E-3</v>
      </c>
      <c r="AC157">
        <v>-1.49E-3</v>
      </c>
      <c r="AD157">
        <v>4.5500000000000002E-3</v>
      </c>
      <c r="AE157">
        <v>0</v>
      </c>
      <c r="AF157">
        <v>0</v>
      </c>
      <c r="AG157">
        <v>0</v>
      </c>
      <c r="AH157">
        <v>0</v>
      </c>
      <c r="AI157">
        <v>0</v>
      </c>
    </row>
    <row r="158" spans="1:35" hidden="1" outlineLevel="1" x14ac:dyDescent="0.25">
      <c r="A158" s="1">
        <v>43861</v>
      </c>
      <c r="B158" s="8">
        <v>-8.0000000000000002E-3</v>
      </c>
      <c r="C158">
        <v>-8.0999999999999996E-3</v>
      </c>
      <c r="D158">
        <v>-1.6280925822201864E-3</v>
      </c>
      <c r="E158">
        <v>5.4000000000000003E-3</v>
      </c>
      <c r="F158">
        <v>8.7100000000000007E-3</v>
      </c>
      <c r="G158">
        <v>-2.3E-3</v>
      </c>
      <c r="H158">
        <v>-6.79E-3</v>
      </c>
      <c r="I158">
        <v>4.8999999999999998E-3</v>
      </c>
      <c r="J158">
        <v>-1.0359999999999999E-2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-4.4000000000000003E-3</v>
      </c>
      <c r="R158">
        <v>0</v>
      </c>
      <c r="S158">
        <v>0</v>
      </c>
      <c r="T158">
        <v>0</v>
      </c>
      <c r="U158">
        <v>7.9500000000000005E-3</v>
      </c>
      <c r="V158">
        <v>0</v>
      </c>
      <c r="W158">
        <v>0</v>
      </c>
      <c r="X158">
        <v>4.8000000000000001E-4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-1.157E-2</v>
      </c>
      <c r="AH158">
        <v>0</v>
      </c>
      <c r="AI158">
        <v>0</v>
      </c>
    </row>
    <row r="159" spans="1:35" hidden="1" outlineLevel="1" x14ac:dyDescent="0.25">
      <c r="A159" s="1">
        <v>43889</v>
      </c>
      <c r="B159" s="8">
        <v>-7.5499999999999998E-2</v>
      </c>
      <c r="C159">
        <v>-9.2499999999999999E-2</v>
      </c>
      <c r="D159">
        <v>-8.411048367946572E-2</v>
      </c>
      <c r="E159">
        <v>-1.1429999999999999E-2</v>
      </c>
      <c r="F159">
        <v>-6.2199999999999998E-3</v>
      </c>
      <c r="G159">
        <v>-1.2919999999999999E-2</v>
      </c>
      <c r="H159">
        <v>-1.319E-2</v>
      </c>
      <c r="I159">
        <v>-1.2200000000000001E-2</v>
      </c>
      <c r="J159">
        <v>-5.4099999999999999E-3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-1.2279999999999999E-2</v>
      </c>
      <c r="R159">
        <v>0</v>
      </c>
      <c r="S159">
        <v>0</v>
      </c>
      <c r="T159">
        <v>0</v>
      </c>
      <c r="U159">
        <v>-4.5300000000000002E-3</v>
      </c>
      <c r="V159">
        <v>0</v>
      </c>
      <c r="W159">
        <v>0</v>
      </c>
      <c r="X159">
        <v>1.43E-2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-1.1610000000000001E-2</v>
      </c>
      <c r="AH159">
        <v>0</v>
      </c>
      <c r="AI159">
        <v>0</v>
      </c>
    </row>
    <row r="160" spans="1:35" hidden="1" outlineLevel="1" x14ac:dyDescent="0.25">
      <c r="A160" s="1">
        <v>43921</v>
      </c>
      <c r="B160" s="8">
        <v>-0.10920000000000001</v>
      </c>
      <c r="C160">
        <v>-0.14729999999999999</v>
      </c>
      <c r="D160">
        <v>-0.12511928245982329</v>
      </c>
      <c r="E160">
        <v>-6.9800000000000001E-3</v>
      </c>
      <c r="F160">
        <v>3.5000000000000001E-3</v>
      </c>
      <c r="G160">
        <v>-4.5789999999999997E-2</v>
      </c>
      <c r="H160">
        <v>-2.4879999999999999E-2</v>
      </c>
      <c r="I160">
        <v>-4.1900000000000001E-3</v>
      </c>
      <c r="J160">
        <v>-6.6E-3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-2.2460000000000001E-2</v>
      </c>
      <c r="R160">
        <v>0</v>
      </c>
      <c r="S160">
        <v>0</v>
      </c>
      <c r="T160">
        <v>0</v>
      </c>
      <c r="U160">
        <v>-2.65E-3</v>
      </c>
      <c r="V160">
        <v>0</v>
      </c>
      <c r="W160">
        <v>0</v>
      </c>
      <c r="X160">
        <v>-2.3999999999999998E-3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3.2399999999999998E-3</v>
      </c>
      <c r="AH160">
        <v>0</v>
      </c>
      <c r="AI160">
        <v>0</v>
      </c>
    </row>
    <row r="161" spans="1:35" hidden="1" outlineLevel="1" x14ac:dyDescent="0.25">
      <c r="A161" s="1">
        <v>43951</v>
      </c>
      <c r="B161" s="8">
        <v>9.8799999999999999E-2</v>
      </c>
      <c r="C161">
        <v>0.1164</v>
      </c>
      <c r="D161">
        <v>0.12684403825663826</v>
      </c>
      <c r="E161">
        <v>1.554E-2</v>
      </c>
      <c r="F161">
        <v>2.6890000000000001E-2</v>
      </c>
      <c r="G161">
        <v>-5.4400000000000004E-3</v>
      </c>
      <c r="H161">
        <v>1.328E-2</v>
      </c>
      <c r="I161">
        <v>1.4109999999999999E-2</v>
      </c>
      <c r="J161">
        <v>1.1800000000000001E-3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7.3600000000000002E-3</v>
      </c>
      <c r="R161">
        <v>0</v>
      </c>
      <c r="S161">
        <v>0</v>
      </c>
      <c r="T161">
        <v>0</v>
      </c>
      <c r="U161">
        <v>1.363E-2</v>
      </c>
      <c r="V161">
        <v>0</v>
      </c>
      <c r="W161">
        <v>0</v>
      </c>
      <c r="X161">
        <v>1.0880000000000001E-2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1.33E-3</v>
      </c>
      <c r="AH161">
        <v>0</v>
      </c>
      <c r="AI161">
        <v>0</v>
      </c>
    </row>
    <row r="162" spans="1:35" hidden="1" outlineLevel="1" x14ac:dyDescent="0.25">
      <c r="A162" s="1">
        <v>43980</v>
      </c>
      <c r="B162" s="8">
        <v>5.1499999999999997E-2</v>
      </c>
      <c r="C162">
        <v>1.7000000000000001E-2</v>
      </c>
      <c r="D162">
        <v>4.5281819676065593E-2</v>
      </c>
      <c r="E162">
        <v>8.5000000000000006E-3</v>
      </c>
      <c r="F162">
        <v>-1.2800000000000001E-3</v>
      </c>
      <c r="G162">
        <v>3.4299999999999999E-3</v>
      </c>
      <c r="H162">
        <v>2.9E-4</v>
      </c>
      <c r="I162">
        <v>5.3E-3</v>
      </c>
      <c r="J162">
        <v>3.2200000000000002E-3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1.6199999999999999E-3</v>
      </c>
      <c r="R162">
        <v>0</v>
      </c>
      <c r="S162">
        <v>0</v>
      </c>
      <c r="T162">
        <v>0</v>
      </c>
      <c r="U162">
        <v>2.5400000000000002E-3</v>
      </c>
      <c r="V162">
        <v>0</v>
      </c>
      <c r="W162">
        <v>0</v>
      </c>
      <c r="X162">
        <v>2.147E-2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6.4000000000000003E-3</v>
      </c>
      <c r="AH162">
        <v>0</v>
      </c>
      <c r="AI162">
        <v>0</v>
      </c>
    </row>
    <row r="163" spans="1:35" hidden="1" outlineLevel="1" x14ac:dyDescent="0.25">
      <c r="A163" s="1">
        <v>44012</v>
      </c>
      <c r="B163" s="8">
        <v>8.7800000000000003E-2</v>
      </c>
      <c r="C163">
        <v>3.8399999999999997E-2</v>
      </c>
      <c r="D163">
        <v>1.8388396357494674E-2</v>
      </c>
      <c r="E163">
        <v>1.474E-2</v>
      </c>
      <c r="F163">
        <v>1.2959999999999999E-2</v>
      </c>
      <c r="G163">
        <v>2.5680000000000001E-2</v>
      </c>
      <c r="H163">
        <v>-7.9000000000000001E-4</v>
      </c>
      <c r="I163">
        <v>3.6099999999999999E-3</v>
      </c>
      <c r="J163">
        <v>5.3E-3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-3.3400000000000001E-3</v>
      </c>
      <c r="R163">
        <v>0</v>
      </c>
      <c r="S163">
        <v>0</v>
      </c>
      <c r="T163">
        <v>0</v>
      </c>
      <c r="U163">
        <v>1.106E-2</v>
      </c>
      <c r="V163">
        <v>0</v>
      </c>
      <c r="W163">
        <v>0</v>
      </c>
      <c r="X163">
        <v>7.0600000000000003E-3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1.15E-2</v>
      </c>
      <c r="AH163">
        <v>0</v>
      </c>
      <c r="AI163">
        <v>0</v>
      </c>
    </row>
    <row r="164" spans="1:35" hidden="1" outlineLevel="1" x14ac:dyDescent="0.25">
      <c r="A164" s="1">
        <v>44043</v>
      </c>
      <c r="B164" s="8">
        <v>7.8299999999999995E-2</v>
      </c>
      <c r="C164">
        <v>4.3400000000000001E-2</v>
      </c>
      <c r="D164">
        <v>5.5101321441235696E-2</v>
      </c>
      <c r="E164">
        <v>1.651E-2</v>
      </c>
      <c r="F164">
        <v>1.4710000000000001E-2</v>
      </c>
      <c r="G164">
        <v>-1.38E-2</v>
      </c>
      <c r="H164">
        <v>4.7600000000000003E-3</v>
      </c>
      <c r="I164">
        <v>5.6800000000000002E-3</v>
      </c>
      <c r="J164">
        <v>5.8599999999999998E-3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3.7000000000000002E-3</v>
      </c>
      <c r="R164">
        <v>0</v>
      </c>
      <c r="S164">
        <v>0</v>
      </c>
      <c r="T164">
        <v>0</v>
      </c>
      <c r="U164">
        <v>7.3999999999999999E-4</v>
      </c>
      <c r="V164">
        <v>0</v>
      </c>
      <c r="W164">
        <v>0</v>
      </c>
      <c r="X164">
        <v>1.176E-2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2.8400000000000002E-2</v>
      </c>
      <c r="AH164">
        <v>0</v>
      </c>
      <c r="AI164">
        <v>0</v>
      </c>
    </row>
    <row r="165" spans="1:35" hidden="1" outlineLevel="1" x14ac:dyDescent="0.25">
      <c r="A165" s="1">
        <v>44074</v>
      </c>
      <c r="B165" s="8">
        <v>0.1086</v>
      </c>
      <c r="C165">
        <v>5.5500000000000001E-2</v>
      </c>
      <c r="D165">
        <v>7.0064667087246457E-2</v>
      </c>
      <c r="E165">
        <v>2.163E-2</v>
      </c>
      <c r="F165">
        <v>9.0500000000000008E-3</v>
      </c>
      <c r="G165">
        <v>8.7500000000000008E-3</v>
      </c>
      <c r="H165">
        <v>3.46E-3</v>
      </c>
      <c r="I165">
        <v>3.3400000000000001E-3</v>
      </c>
      <c r="J165">
        <v>7.1000000000000004E-3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3.6700000000000001E-3</v>
      </c>
      <c r="R165">
        <v>0</v>
      </c>
      <c r="S165">
        <v>0</v>
      </c>
      <c r="T165">
        <v>0</v>
      </c>
      <c r="U165">
        <v>1.026E-2</v>
      </c>
      <c r="V165">
        <v>0</v>
      </c>
      <c r="W165">
        <v>0</v>
      </c>
      <c r="X165">
        <v>2.5999999999999999E-2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1.532E-2</v>
      </c>
      <c r="AH165">
        <v>0</v>
      </c>
      <c r="AI165">
        <v>0</v>
      </c>
    </row>
    <row r="166" spans="1:35" hidden="1" outlineLevel="1" x14ac:dyDescent="0.25">
      <c r="A166" s="1">
        <v>44104</v>
      </c>
      <c r="B166" s="8">
        <v>-3.5900000000000001E-2</v>
      </c>
      <c r="C166">
        <v>-2.63E-2</v>
      </c>
      <c r="D166">
        <v>-3.9227970289931413E-2</v>
      </c>
      <c r="E166">
        <v>-1.025E-2</v>
      </c>
      <c r="F166">
        <v>-8.7600000000000004E-3</v>
      </c>
      <c r="G166">
        <v>-3.82E-3</v>
      </c>
      <c r="H166">
        <v>-5.7099999999999998E-3</v>
      </c>
      <c r="I166">
        <v>-4.5500000000000002E-3</v>
      </c>
      <c r="J166">
        <v>4.81E-3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-3.9100000000000003E-3</v>
      </c>
      <c r="R166">
        <v>0</v>
      </c>
      <c r="S166">
        <v>0</v>
      </c>
      <c r="T166">
        <v>0</v>
      </c>
      <c r="U166">
        <v>-6.7400000000000003E-3</v>
      </c>
      <c r="V166">
        <v>0</v>
      </c>
      <c r="W166">
        <v>0</v>
      </c>
      <c r="X166">
        <v>1.1999999999999999E-3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1.8400000000000001E-3</v>
      </c>
      <c r="AH166">
        <v>0</v>
      </c>
      <c r="AI166">
        <v>0</v>
      </c>
    </row>
    <row r="167" spans="1:35" hidden="1" outlineLevel="1" x14ac:dyDescent="0.25">
      <c r="A167" s="1">
        <v>44134</v>
      </c>
      <c r="B167" s="8">
        <v>-2.5600000000000001E-2</v>
      </c>
      <c r="C167">
        <v>-1.61E-2</v>
      </c>
      <c r="D167">
        <v>-2.766578620279514E-2</v>
      </c>
      <c r="E167">
        <v>-6.0000000000000001E-3</v>
      </c>
      <c r="F167">
        <v>-3.5799999999999998E-3</v>
      </c>
      <c r="G167">
        <v>-1.2630000000000001E-2</v>
      </c>
      <c r="H167">
        <v>-1.6199999999999999E-3</v>
      </c>
      <c r="I167">
        <v>6.3299999999999997E-3</v>
      </c>
      <c r="J167">
        <v>5.9899999999999997E-3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2.7699999999999999E-3</v>
      </c>
      <c r="R167">
        <v>0</v>
      </c>
      <c r="S167">
        <v>0</v>
      </c>
      <c r="T167">
        <v>0</v>
      </c>
      <c r="U167">
        <v>-3.7399999999999998E-3</v>
      </c>
      <c r="V167">
        <v>0</v>
      </c>
      <c r="W167">
        <v>0</v>
      </c>
      <c r="X167">
        <v>-7.3600000000000002E-3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-5.7099999999999998E-3</v>
      </c>
      <c r="AH167">
        <v>0</v>
      </c>
      <c r="AI167">
        <v>0</v>
      </c>
    </row>
    <row r="168" spans="1:35" hidden="1" outlineLevel="1" x14ac:dyDescent="0.25">
      <c r="A168" s="1">
        <v>44165</v>
      </c>
      <c r="B168" s="8">
        <v>0.1484</v>
      </c>
      <c r="C168">
        <v>0.15110000000000001</v>
      </c>
      <c r="D168">
        <v>0.10754563548003038</v>
      </c>
      <c r="E168">
        <v>9.5499999999999995E-3</v>
      </c>
      <c r="F168">
        <v>4.3400000000000001E-3</v>
      </c>
      <c r="G168">
        <v>4.5929999999999999E-2</v>
      </c>
      <c r="H168">
        <v>1.882E-2</v>
      </c>
      <c r="I168">
        <v>1.6549999999999999E-2</v>
      </c>
      <c r="J168">
        <v>1.0529999999999999E-2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2.0240000000000001E-2</v>
      </c>
      <c r="R168">
        <v>0</v>
      </c>
      <c r="S168">
        <v>0</v>
      </c>
      <c r="T168">
        <v>0</v>
      </c>
      <c r="U168">
        <v>6.0099999999999997E-3</v>
      </c>
      <c r="V168">
        <v>0</v>
      </c>
      <c r="W168">
        <v>0</v>
      </c>
      <c r="X168">
        <v>6.9199999999999999E-3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9.5300000000000003E-3</v>
      </c>
      <c r="AH168">
        <v>0</v>
      </c>
      <c r="AI168">
        <v>0</v>
      </c>
    </row>
    <row r="169" spans="1:35" hidden="1" outlineLevel="1" x14ac:dyDescent="0.25">
      <c r="A169" s="1">
        <v>44196</v>
      </c>
      <c r="B169" s="8">
        <v>4.0399999999999998E-2</v>
      </c>
      <c r="C169">
        <v>4.2900000000000001E-2</v>
      </c>
      <c r="D169">
        <v>3.7121458940645669E-2</v>
      </c>
      <c r="E169">
        <v>1.146E-2</v>
      </c>
      <c r="F169">
        <v>2.81E-3</v>
      </c>
      <c r="G169">
        <v>1.5900000000000001E-3</v>
      </c>
      <c r="H169">
        <v>8.2699999999999996E-3</v>
      </c>
      <c r="I169">
        <v>3.8400000000000001E-3</v>
      </c>
      <c r="J169">
        <v>4.8599999999999997E-3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7.7999999999999996E-3</v>
      </c>
      <c r="R169">
        <v>0</v>
      </c>
      <c r="S169">
        <v>0</v>
      </c>
      <c r="T169">
        <v>0</v>
      </c>
      <c r="U169">
        <v>3.8999999999999998E-3</v>
      </c>
      <c r="V169">
        <v>0</v>
      </c>
      <c r="W169">
        <v>0</v>
      </c>
      <c r="X169">
        <v>-2.5600000000000002E-3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-1.56E-3</v>
      </c>
      <c r="AH169">
        <v>0</v>
      </c>
      <c r="AI169">
        <v>0</v>
      </c>
    </row>
    <row r="170" spans="1:35" hidden="1" outlineLevel="1" x14ac:dyDescent="0.25">
      <c r="A170" s="1">
        <v>44225</v>
      </c>
      <c r="B170" s="8">
        <v>5.4999999999999997E-3</v>
      </c>
      <c r="C170">
        <v>-9.7999999999999997E-3</v>
      </c>
      <c r="D170">
        <v>-1.1136660723231162E-2</v>
      </c>
      <c r="E170">
        <v>-5.5000000000000003E-4</v>
      </c>
      <c r="F170">
        <v>-1.5399999999999999E-3</v>
      </c>
      <c r="G170">
        <v>-4.4999999999999997E-3</v>
      </c>
      <c r="H170">
        <v>-2.1800000000000001E-3</v>
      </c>
      <c r="I170">
        <v>-2.5600000000000002E-3</v>
      </c>
      <c r="J170">
        <v>0</v>
      </c>
      <c r="K170">
        <v>0</v>
      </c>
      <c r="L170" s="2">
        <v>8.0000000000000007E-5</v>
      </c>
      <c r="M170">
        <v>0</v>
      </c>
      <c r="N170">
        <v>-5.4099999999999999E-3</v>
      </c>
      <c r="O170">
        <v>0</v>
      </c>
      <c r="P170">
        <v>0</v>
      </c>
      <c r="Q170">
        <v>1.06E-3</v>
      </c>
      <c r="R170">
        <v>0</v>
      </c>
      <c r="S170">
        <v>0</v>
      </c>
      <c r="T170" s="2">
        <v>2.0000000000000002E-5</v>
      </c>
      <c r="U170">
        <v>0</v>
      </c>
      <c r="V170">
        <v>0</v>
      </c>
      <c r="W170">
        <v>0</v>
      </c>
      <c r="X170">
        <v>-3.2000000000000003E-4</v>
      </c>
      <c r="Y170">
        <v>8.1200000000000005E-3</v>
      </c>
      <c r="Z170">
        <v>0</v>
      </c>
      <c r="AA170">
        <v>0</v>
      </c>
      <c r="AB170">
        <v>0</v>
      </c>
      <c r="AC170">
        <v>5.64E-3</v>
      </c>
      <c r="AD170">
        <v>0</v>
      </c>
      <c r="AE170">
        <v>3.0899999999999999E-3</v>
      </c>
      <c r="AF170">
        <v>0</v>
      </c>
      <c r="AG170">
        <v>-3.7599999999999999E-3</v>
      </c>
      <c r="AH170">
        <v>0</v>
      </c>
      <c r="AI170">
        <v>8.3300000000000006E-3</v>
      </c>
    </row>
    <row r="171" spans="1:35" hidden="1" outlineLevel="1" x14ac:dyDescent="0.25">
      <c r="A171" s="1">
        <v>44253</v>
      </c>
      <c r="B171" s="8">
        <v>0.1091</v>
      </c>
      <c r="C171">
        <v>0.06</v>
      </c>
      <c r="D171">
        <v>2.6091451349647521E-2</v>
      </c>
      <c r="E171">
        <v>-7.9500000000000005E-3</v>
      </c>
      <c r="F171">
        <v>-3.49E-3</v>
      </c>
      <c r="G171">
        <v>4.45E-3</v>
      </c>
      <c r="H171">
        <v>1.7069999999999998E-2</v>
      </c>
      <c r="I171">
        <v>-8.8000000000000003E-4</v>
      </c>
      <c r="J171" s="2">
        <v>5.0000000000000002E-5</v>
      </c>
      <c r="K171">
        <v>0</v>
      </c>
      <c r="L171">
        <v>2.4680000000000001E-2</v>
      </c>
      <c r="M171">
        <v>0</v>
      </c>
      <c r="N171">
        <v>9.3600000000000003E-3</v>
      </c>
      <c r="O171">
        <v>0</v>
      </c>
      <c r="P171">
        <v>0</v>
      </c>
      <c r="Q171">
        <v>7.7600000000000004E-3</v>
      </c>
      <c r="R171">
        <v>0</v>
      </c>
      <c r="S171">
        <v>0</v>
      </c>
      <c r="T171" s="2">
        <v>2.0000000000000002E-5</v>
      </c>
      <c r="U171">
        <v>0</v>
      </c>
      <c r="V171">
        <v>0</v>
      </c>
      <c r="W171">
        <v>0</v>
      </c>
      <c r="X171">
        <v>3.62E-3</v>
      </c>
      <c r="Y171">
        <v>1.669E-2</v>
      </c>
      <c r="Z171">
        <v>0</v>
      </c>
      <c r="AA171">
        <v>0</v>
      </c>
      <c r="AB171">
        <v>0</v>
      </c>
      <c r="AC171">
        <v>1.353E-2</v>
      </c>
      <c r="AD171">
        <v>0</v>
      </c>
      <c r="AE171">
        <v>9.7999999999999997E-4</v>
      </c>
      <c r="AF171">
        <v>0</v>
      </c>
      <c r="AG171">
        <v>1.17E-3</v>
      </c>
      <c r="AH171">
        <v>0</v>
      </c>
      <c r="AI171">
        <v>2.2009999999999998E-2</v>
      </c>
    </row>
    <row r="172" spans="1:35" hidden="1" outlineLevel="1" x14ac:dyDescent="0.25">
      <c r="A172" s="1">
        <v>44286</v>
      </c>
      <c r="B172" s="8">
        <v>3.6299999999999999E-2</v>
      </c>
      <c r="C172">
        <v>5.4300000000000001E-2</v>
      </c>
      <c r="D172">
        <v>4.2438632737883841E-2</v>
      </c>
      <c r="E172">
        <v>7.2999999999999996E-4</v>
      </c>
      <c r="F172" s="2">
        <v>4.0000000000000003E-5</v>
      </c>
      <c r="G172">
        <v>9.7699999999999992E-3</v>
      </c>
      <c r="H172">
        <v>1.1979999999999999E-2</v>
      </c>
      <c r="I172">
        <v>8.3499999999999998E-3</v>
      </c>
      <c r="J172" s="2">
        <v>2.0000000000000002E-5</v>
      </c>
      <c r="K172">
        <v>0</v>
      </c>
      <c r="L172">
        <v>1.47E-3</v>
      </c>
      <c r="M172">
        <v>0</v>
      </c>
      <c r="N172">
        <v>-1.8E-3</v>
      </c>
      <c r="O172">
        <v>0</v>
      </c>
      <c r="P172">
        <v>0</v>
      </c>
      <c r="Q172">
        <v>1.8600000000000001E-3</v>
      </c>
      <c r="R172">
        <v>0</v>
      </c>
      <c r="S172">
        <v>0</v>
      </c>
      <c r="T172">
        <v>4.2999999999999999E-4</v>
      </c>
      <c r="U172">
        <v>0</v>
      </c>
      <c r="V172">
        <v>0</v>
      </c>
      <c r="W172">
        <v>0</v>
      </c>
      <c r="X172">
        <v>-1.7099999999999999E-3</v>
      </c>
      <c r="Y172" s="2">
        <v>4.0000000000000003E-5</v>
      </c>
      <c r="Z172">
        <v>0</v>
      </c>
      <c r="AA172">
        <v>0</v>
      </c>
      <c r="AB172">
        <v>0</v>
      </c>
      <c r="AC172">
        <v>4.6999999999999999E-4</v>
      </c>
      <c r="AD172">
        <v>0</v>
      </c>
      <c r="AE172">
        <v>-1.5499999999999999E-3</v>
      </c>
      <c r="AF172">
        <v>0</v>
      </c>
      <c r="AG172">
        <v>3.64E-3</v>
      </c>
      <c r="AH172">
        <v>0</v>
      </c>
      <c r="AI172">
        <v>2.5500000000000002E-3</v>
      </c>
    </row>
    <row r="173" spans="1:35" hidden="1" outlineLevel="1" x14ac:dyDescent="0.25">
      <c r="A173" s="1">
        <v>44316</v>
      </c>
      <c r="B173" s="8">
        <v>4.9399999999999999E-2</v>
      </c>
      <c r="C173">
        <v>0.04</v>
      </c>
      <c r="D173">
        <v>5.2425321267266289E-2</v>
      </c>
      <c r="E173">
        <v>7.62E-3</v>
      </c>
      <c r="F173">
        <v>1.192E-2</v>
      </c>
      <c r="G173">
        <v>-3.8899999999999998E-3</v>
      </c>
      <c r="H173">
        <v>4.7600000000000003E-3</v>
      </c>
      <c r="I173">
        <v>7.9000000000000008E-3</v>
      </c>
      <c r="J173">
        <v>0</v>
      </c>
      <c r="K173">
        <v>0</v>
      </c>
      <c r="L173">
        <v>-2.7499999999999998E-3</v>
      </c>
      <c r="M173">
        <v>0</v>
      </c>
      <c r="N173">
        <v>6.0999999999999997E-4</v>
      </c>
      <c r="O173">
        <v>0</v>
      </c>
      <c r="P173">
        <v>0</v>
      </c>
      <c r="Q173">
        <v>8.8000000000000003E-4</v>
      </c>
      <c r="R173">
        <v>0</v>
      </c>
      <c r="S173">
        <v>0</v>
      </c>
      <c r="T173">
        <v>1E-4</v>
      </c>
      <c r="U173">
        <v>0</v>
      </c>
      <c r="V173">
        <v>0</v>
      </c>
      <c r="W173">
        <v>0</v>
      </c>
      <c r="X173">
        <v>8.0599999999999995E-3</v>
      </c>
      <c r="Y173">
        <v>-2.4199999999999998E-3</v>
      </c>
      <c r="Z173">
        <v>0</v>
      </c>
      <c r="AA173">
        <v>0</v>
      </c>
      <c r="AB173">
        <v>0</v>
      </c>
      <c r="AC173">
        <v>5.13E-3</v>
      </c>
      <c r="AD173">
        <v>0</v>
      </c>
      <c r="AE173">
        <v>-3.5E-4</v>
      </c>
      <c r="AF173">
        <v>0</v>
      </c>
      <c r="AG173">
        <v>9.4199999999999996E-3</v>
      </c>
      <c r="AH173">
        <v>0</v>
      </c>
      <c r="AI173">
        <v>2.3999999999999998E-3</v>
      </c>
    </row>
    <row r="174" spans="1:35" hidden="1" outlineLevel="1" x14ac:dyDescent="0.25">
      <c r="A174" s="1">
        <v>44344</v>
      </c>
      <c r="B174" s="8">
        <v>2.6499999999999999E-2</v>
      </c>
      <c r="C174">
        <v>2.3199999999999998E-2</v>
      </c>
      <c r="D174">
        <v>5.4864885732810453E-3</v>
      </c>
      <c r="E174">
        <v>-5.0400000000000002E-3</v>
      </c>
      <c r="F174">
        <v>-6.96E-3</v>
      </c>
      <c r="G174">
        <v>2.63E-3</v>
      </c>
      <c r="H174">
        <v>4.5900000000000003E-3</v>
      </c>
      <c r="I174">
        <v>6.43E-3</v>
      </c>
      <c r="J174" s="2">
        <v>2.0000000000000002E-5</v>
      </c>
      <c r="K174">
        <v>0</v>
      </c>
      <c r="L174">
        <v>7.8300000000000002E-3</v>
      </c>
      <c r="M174">
        <v>0</v>
      </c>
      <c r="N174">
        <v>-2.99E-3</v>
      </c>
      <c r="O174">
        <v>0</v>
      </c>
      <c r="P174">
        <v>0</v>
      </c>
      <c r="Q174">
        <v>3.6600000000000001E-3</v>
      </c>
      <c r="R174">
        <v>0</v>
      </c>
      <c r="S174">
        <v>0</v>
      </c>
      <c r="T174">
        <v>1.6000000000000001E-4</v>
      </c>
      <c r="U174">
        <v>0</v>
      </c>
      <c r="V174">
        <v>0</v>
      </c>
      <c r="W174">
        <v>0</v>
      </c>
      <c r="X174">
        <v>5.3299999999999997E-3</v>
      </c>
      <c r="Y174">
        <v>1.2099999999999999E-3</v>
      </c>
      <c r="Z174">
        <v>0</v>
      </c>
      <c r="AA174">
        <v>0</v>
      </c>
      <c r="AB174">
        <v>0</v>
      </c>
      <c r="AC174">
        <v>3.49E-3</v>
      </c>
      <c r="AD174">
        <v>0</v>
      </c>
      <c r="AE174">
        <v>1.3999999999999999E-4</v>
      </c>
      <c r="AF174">
        <v>0</v>
      </c>
      <c r="AG174">
        <v>2.7299999999999998E-3</v>
      </c>
      <c r="AH174">
        <v>0</v>
      </c>
      <c r="AI174">
        <v>3.32E-3</v>
      </c>
    </row>
    <row r="175" spans="1:35" hidden="1" outlineLevel="1" x14ac:dyDescent="0.25">
      <c r="A175" s="1">
        <v>44377</v>
      </c>
      <c r="B175" s="8">
        <v>4.9599999999999998E-2</v>
      </c>
      <c r="C175">
        <v>1.52E-2</v>
      </c>
      <c r="D175">
        <v>2.2214009634219822E-2</v>
      </c>
      <c r="E175">
        <v>9.9100000000000004E-3</v>
      </c>
      <c r="F175">
        <v>6.6499999999999997E-3</v>
      </c>
      <c r="G175">
        <v>-1.4599999999999999E-3</v>
      </c>
      <c r="H175">
        <v>-2.31E-3</v>
      </c>
      <c r="I175">
        <v>2.1000000000000001E-4</v>
      </c>
      <c r="J175" s="2">
        <v>-3.0000000000000001E-5</v>
      </c>
      <c r="K175">
        <v>0</v>
      </c>
      <c r="L175">
        <v>7.3699999999999998E-3</v>
      </c>
      <c r="M175">
        <v>0</v>
      </c>
      <c r="N175">
        <v>-1.2199999999999999E-3</v>
      </c>
      <c r="O175">
        <v>0</v>
      </c>
      <c r="P175">
        <v>0</v>
      </c>
      <c r="Q175">
        <v>-2.8600000000000001E-3</v>
      </c>
      <c r="R175">
        <v>0</v>
      </c>
      <c r="S175">
        <v>0</v>
      </c>
      <c r="T175" s="2">
        <v>-9.0000000000000006E-5</v>
      </c>
      <c r="U175">
        <v>0</v>
      </c>
      <c r="V175">
        <v>0</v>
      </c>
      <c r="W175">
        <v>0</v>
      </c>
      <c r="X175">
        <v>1.5010000000000001E-2</v>
      </c>
      <c r="Y175">
        <v>1.047E-2</v>
      </c>
      <c r="Z175">
        <v>0</v>
      </c>
      <c r="AA175">
        <v>0</v>
      </c>
      <c r="AB175">
        <v>0</v>
      </c>
      <c r="AC175">
        <v>9.7000000000000005E-4</v>
      </c>
      <c r="AD175">
        <v>0</v>
      </c>
      <c r="AE175">
        <v>7.5000000000000002E-4</v>
      </c>
      <c r="AF175">
        <v>0</v>
      </c>
      <c r="AG175">
        <v>-1.4599999999999999E-3</v>
      </c>
      <c r="AH175">
        <v>0</v>
      </c>
      <c r="AI175">
        <v>7.6600000000000001E-3</v>
      </c>
    </row>
    <row r="176" spans="1:35" hidden="1" outlineLevel="1" x14ac:dyDescent="0.25">
      <c r="A176" s="1">
        <v>44407</v>
      </c>
      <c r="B176" s="8">
        <v>-3.7999999999999999E-2</v>
      </c>
      <c r="C176">
        <v>-4.0000000000000001E-3</v>
      </c>
      <c r="D176">
        <v>2.2748054915648686E-2</v>
      </c>
      <c r="E176">
        <v>6.4999999999999997E-3</v>
      </c>
      <c r="F176">
        <v>-3.2299999999999998E-3</v>
      </c>
      <c r="G176">
        <v>-2.65E-3</v>
      </c>
      <c r="H176">
        <v>-6.96E-3</v>
      </c>
      <c r="I176">
        <v>-8.0999999999999996E-4</v>
      </c>
      <c r="J176" s="2">
        <v>-1.0000000000000001E-5</v>
      </c>
      <c r="K176">
        <v>0</v>
      </c>
      <c r="L176">
        <v>-5.7600000000000004E-3</v>
      </c>
      <c r="M176">
        <v>0</v>
      </c>
      <c r="N176">
        <v>1.1E-4</v>
      </c>
      <c r="O176">
        <v>0</v>
      </c>
      <c r="P176">
        <v>0</v>
      </c>
      <c r="Q176">
        <v>-9.8999999999999999E-4</v>
      </c>
      <c r="R176">
        <v>0</v>
      </c>
      <c r="S176">
        <v>0</v>
      </c>
      <c r="T176" s="2">
        <v>-1.0000000000000001E-5</v>
      </c>
      <c r="U176">
        <v>0</v>
      </c>
      <c r="V176">
        <v>0</v>
      </c>
      <c r="W176">
        <v>0</v>
      </c>
      <c r="X176">
        <v>-1.6299999999999999E-3</v>
      </c>
      <c r="Y176">
        <v>-8.4499999999999992E-3</v>
      </c>
      <c r="Z176">
        <v>0</v>
      </c>
      <c r="AA176">
        <v>0</v>
      </c>
      <c r="AB176">
        <v>0</v>
      </c>
      <c r="AC176">
        <v>-1.23E-3</v>
      </c>
      <c r="AD176">
        <v>0</v>
      </c>
      <c r="AE176">
        <v>-7.9000000000000001E-4</v>
      </c>
      <c r="AF176">
        <v>0</v>
      </c>
      <c r="AG176">
        <v>-3.7799999999999999E-3</v>
      </c>
      <c r="AH176">
        <v>0</v>
      </c>
      <c r="AI176">
        <v>-8.2900000000000005E-3</v>
      </c>
    </row>
    <row r="177" spans="1:35" hidden="1" outlineLevel="1" x14ac:dyDescent="0.25">
      <c r="A177" s="1">
        <v>44439</v>
      </c>
      <c r="B177" s="8">
        <v>3.9199999999999999E-2</v>
      </c>
      <c r="C177">
        <v>2.4E-2</v>
      </c>
      <c r="D177">
        <v>2.8990416217415271E-2</v>
      </c>
      <c r="E177">
        <v>4.2399999999999998E-3</v>
      </c>
      <c r="F177">
        <v>4.2500000000000003E-3</v>
      </c>
      <c r="G177">
        <v>-1.49E-3</v>
      </c>
      <c r="H177">
        <v>8.8400000000000006E-3</v>
      </c>
      <c r="I177">
        <v>8.0099999999999998E-3</v>
      </c>
      <c r="J177" s="2">
        <v>1.0000000000000001E-5</v>
      </c>
      <c r="K177">
        <v>0</v>
      </c>
      <c r="L177">
        <v>-7.5000000000000002E-4</v>
      </c>
      <c r="M177">
        <v>0</v>
      </c>
      <c r="N177">
        <v>2.2599999999999999E-3</v>
      </c>
      <c r="O177">
        <v>0</v>
      </c>
      <c r="P177">
        <v>0</v>
      </c>
      <c r="Q177">
        <v>2.9099999999999998E-3</v>
      </c>
      <c r="R177">
        <v>0</v>
      </c>
      <c r="S177">
        <v>0</v>
      </c>
      <c r="T177" s="2">
        <v>-4.0000000000000003E-5</v>
      </c>
      <c r="U177">
        <v>0</v>
      </c>
      <c r="V177">
        <v>0</v>
      </c>
      <c r="W177">
        <v>0</v>
      </c>
      <c r="X177">
        <v>9.5999999999999992E-3</v>
      </c>
      <c r="Y177">
        <v>-8.0000000000000004E-4</v>
      </c>
      <c r="Z177">
        <v>0</v>
      </c>
      <c r="AA177">
        <v>0</v>
      </c>
      <c r="AB177">
        <v>0</v>
      </c>
      <c r="AC177">
        <v>3.9399999999999999E-3</v>
      </c>
      <c r="AD177">
        <v>0</v>
      </c>
      <c r="AE177">
        <v>5.5000000000000003E-4</v>
      </c>
      <c r="AF177">
        <v>0</v>
      </c>
      <c r="AG177">
        <v>1.31E-3</v>
      </c>
      <c r="AH177">
        <v>0</v>
      </c>
      <c r="AI177">
        <v>-3.5899999999999999E-3</v>
      </c>
    </row>
    <row r="178" spans="1:35" hidden="1" outlineLevel="1" x14ac:dyDescent="0.25">
      <c r="A178" s="1">
        <v>44469</v>
      </c>
      <c r="B178" s="8">
        <v>-2E-3</v>
      </c>
      <c r="C178">
        <v>-3.0200000000000001E-2</v>
      </c>
      <c r="D178">
        <v>-4.7569168861786748E-2</v>
      </c>
      <c r="E178">
        <v>-6.7999999999999996E-3</v>
      </c>
      <c r="F178">
        <v>-5.2900000000000004E-3</v>
      </c>
      <c r="G178">
        <v>1E-4</v>
      </c>
      <c r="H178">
        <v>2.1800000000000001E-3</v>
      </c>
      <c r="I178">
        <v>-9.7199999999999995E-3</v>
      </c>
      <c r="J178" s="2">
        <v>-3.0000000000000001E-5</v>
      </c>
      <c r="K178">
        <v>0</v>
      </c>
      <c r="L178">
        <v>1.755E-2</v>
      </c>
      <c r="M178">
        <v>0</v>
      </c>
      <c r="N178">
        <v>-5.0400000000000002E-3</v>
      </c>
      <c r="O178">
        <v>0</v>
      </c>
      <c r="P178">
        <v>0</v>
      </c>
      <c r="Q178">
        <v>1.2600000000000001E-3</v>
      </c>
      <c r="R178">
        <v>0</v>
      </c>
      <c r="S178">
        <v>0</v>
      </c>
      <c r="T178">
        <v>-4.2999999999999999E-4</v>
      </c>
      <c r="U178">
        <v>0</v>
      </c>
      <c r="V178">
        <v>0</v>
      </c>
      <c r="W178">
        <v>0</v>
      </c>
      <c r="X178">
        <v>-4.8300000000000001E-3</v>
      </c>
      <c r="Y178">
        <v>7.7600000000000004E-3</v>
      </c>
      <c r="Z178">
        <v>0</v>
      </c>
      <c r="AA178">
        <v>0</v>
      </c>
      <c r="AB178">
        <v>0</v>
      </c>
      <c r="AC178">
        <v>-1.39E-3</v>
      </c>
      <c r="AD178">
        <v>0</v>
      </c>
      <c r="AE178">
        <v>-1.56E-3</v>
      </c>
      <c r="AF178">
        <v>0</v>
      </c>
      <c r="AG178">
        <v>-3.2699999999999999E-3</v>
      </c>
      <c r="AH178">
        <v>0</v>
      </c>
      <c r="AI178">
        <v>7.4799999999999997E-3</v>
      </c>
    </row>
    <row r="179" spans="1:35" hidden="1" outlineLevel="1" x14ac:dyDescent="0.25">
      <c r="A179" s="1">
        <v>44498</v>
      </c>
      <c r="B179" s="8">
        <v>8.8300000000000003E-2</v>
      </c>
      <c r="C179">
        <v>6.7699999999999996E-2</v>
      </c>
      <c r="D179">
        <v>6.9143836459647501E-2</v>
      </c>
      <c r="E179">
        <v>5.8700000000000002E-3</v>
      </c>
      <c r="F179">
        <v>2.63E-3</v>
      </c>
      <c r="G179">
        <v>-2.8500000000000001E-3</v>
      </c>
      <c r="H179">
        <v>1.256E-2</v>
      </c>
      <c r="I179">
        <v>1.14E-2</v>
      </c>
      <c r="J179" s="2">
        <v>2.0000000000000002E-5</v>
      </c>
      <c r="K179">
        <v>0</v>
      </c>
      <c r="L179">
        <v>8.43E-3</v>
      </c>
      <c r="M179">
        <v>0</v>
      </c>
      <c r="N179" s="2">
        <v>-4.0000000000000003E-5</v>
      </c>
      <c r="O179">
        <v>0</v>
      </c>
      <c r="P179">
        <v>0</v>
      </c>
      <c r="Q179">
        <v>2.3800000000000002E-3</v>
      </c>
      <c r="R179">
        <v>0</v>
      </c>
      <c r="S179">
        <v>0</v>
      </c>
      <c r="T179" s="2">
        <v>8.0000000000000007E-5</v>
      </c>
      <c r="U179">
        <v>0</v>
      </c>
      <c r="V179">
        <v>0</v>
      </c>
      <c r="W179">
        <v>0</v>
      </c>
      <c r="X179">
        <v>1.5169999999999999E-2</v>
      </c>
      <c r="Y179">
        <v>6.8199999999999997E-3</v>
      </c>
      <c r="Z179">
        <v>0</v>
      </c>
      <c r="AA179">
        <v>0</v>
      </c>
      <c r="AB179">
        <v>0</v>
      </c>
      <c r="AC179">
        <v>8.0400000000000003E-3</v>
      </c>
      <c r="AD179">
        <v>0</v>
      </c>
      <c r="AE179">
        <v>5.0000000000000001E-4</v>
      </c>
      <c r="AF179">
        <v>0</v>
      </c>
      <c r="AG179">
        <v>8.1499999999999993E-3</v>
      </c>
      <c r="AH179">
        <v>0</v>
      </c>
      <c r="AI179">
        <v>9.1199999999999996E-3</v>
      </c>
    </row>
    <row r="180" spans="1:35" hidden="1" outlineLevel="1" x14ac:dyDescent="0.25">
      <c r="A180" s="1">
        <v>44530</v>
      </c>
      <c r="B180" s="8">
        <v>-1.06E-2</v>
      </c>
      <c r="C180">
        <v>-1.34E-2</v>
      </c>
      <c r="D180">
        <v>-8.3337062251199745E-3</v>
      </c>
      <c r="E180">
        <v>1.0489999999999999E-2</v>
      </c>
      <c r="F180">
        <v>3.9399999999999999E-3</v>
      </c>
      <c r="G180">
        <v>-2.15E-3</v>
      </c>
      <c r="H180">
        <v>-6.9300000000000004E-3</v>
      </c>
      <c r="I180">
        <v>-3.7599999999999999E-3</v>
      </c>
      <c r="J180" s="2">
        <v>-2.0000000000000002E-5</v>
      </c>
      <c r="K180">
        <v>0</v>
      </c>
      <c r="L180">
        <v>-4.6600000000000001E-3</v>
      </c>
      <c r="M180">
        <v>0</v>
      </c>
      <c r="N180">
        <v>-1.078E-2</v>
      </c>
      <c r="O180">
        <v>0</v>
      </c>
      <c r="P180">
        <v>0</v>
      </c>
      <c r="Q180">
        <v>-3.5200000000000001E-3</v>
      </c>
      <c r="R180">
        <v>0</v>
      </c>
      <c r="S180">
        <v>0</v>
      </c>
      <c r="T180">
        <v>-1.7000000000000001E-4</v>
      </c>
      <c r="U180">
        <v>0</v>
      </c>
      <c r="V180">
        <v>0</v>
      </c>
      <c r="W180">
        <v>0</v>
      </c>
      <c r="X180">
        <v>1.8020000000000001E-2</v>
      </c>
      <c r="Y180">
        <v>-5.9100000000000003E-3</v>
      </c>
      <c r="Z180">
        <v>0</v>
      </c>
      <c r="AA180">
        <v>0</v>
      </c>
      <c r="AB180">
        <v>0</v>
      </c>
      <c r="AC180">
        <v>2.6900000000000001E-3</v>
      </c>
      <c r="AD180">
        <v>0</v>
      </c>
      <c r="AE180">
        <v>8.1999999999999998E-4</v>
      </c>
      <c r="AF180">
        <v>0</v>
      </c>
      <c r="AG180">
        <v>-3.1199999999999999E-3</v>
      </c>
      <c r="AH180">
        <v>0</v>
      </c>
      <c r="AI180">
        <v>-5.5199999999999997E-3</v>
      </c>
    </row>
    <row r="181" spans="1:35" hidden="1" outlineLevel="1" x14ac:dyDescent="0.25">
      <c r="A181" s="1">
        <v>44561</v>
      </c>
      <c r="B181" s="8">
        <v>1.6E-2</v>
      </c>
      <c r="C181">
        <v>5.3999999999999999E-2</v>
      </c>
      <c r="D181">
        <v>4.361291350996277E-2</v>
      </c>
      <c r="E181">
        <v>7.4200000000000004E-3</v>
      </c>
      <c r="F181">
        <v>-4.8700000000000002E-3</v>
      </c>
      <c r="G181">
        <v>8.4999999999999995E-4</v>
      </c>
      <c r="H181">
        <v>5.1999999999999995E-4</v>
      </c>
      <c r="I181">
        <v>1.5200000000000001E-3</v>
      </c>
      <c r="J181" s="2">
        <v>2.0000000000000002E-5</v>
      </c>
      <c r="K181">
        <v>0</v>
      </c>
      <c r="L181">
        <v>2.5500000000000002E-3</v>
      </c>
      <c r="M181">
        <v>0</v>
      </c>
      <c r="N181">
        <v>5.1999999999999998E-3</v>
      </c>
      <c r="O181">
        <v>0</v>
      </c>
      <c r="P181">
        <v>0</v>
      </c>
      <c r="Q181">
        <v>-1.6000000000000001E-4</v>
      </c>
      <c r="R181">
        <v>0</v>
      </c>
      <c r="S181">
        <v>0</v>
      </c>
      <c r="T181">
        <v>1.9000000000000001E-4</v>
      </c>
      <c r="U181">
        <v>0</v>
      </c>
      <c r="V181">
        <v>0</v>
      </c>
      <c r="W181">
        <v>0</v>
      </c>
      <c r="X181">
        <v>-6.4700000000000001E-3</v>
      </c>
      <c r="Y181">
        <v>-1.1199999999999999E-3</v>
      </c>
      <c r="Z181">
        <v>0</v>
      </c>
      <c r="AA181">
        <v>0</v>
      </c>
      <c r="AB181">
        <v>0</v>
      </c>
      <c r="AC181">
        <v>3.5300000000000002E-3</v>
      </c>
      <c r="AD181">
        <v>0</v>
      </c>
      <c r="AE181">
        <v>8.4000000000000003E-4</v>
      </c>
      <c r="AF181">
        <v>0</v>
      </c>
      <c r="AG181">
        <v>3.81E-3</v>
      </c>
      <c r="AH181">
        <v>0</v>
      </c>
      <c r="AI181">
        <v>2.14E-3</v>
      </c>
    </row>
    <row r="182" spans="1:35" hidden="1" outlineLevel="1" x14ac:dyDescent="0.25">
      <c r="A182" s="1">
        <v>44592</v>
      </c>
      <c r="B182" s="8">
        <v>5.0000000000000001E-4</v>
      </c>
      <c r="C182">
        <v>-1.0800000000000001E-2</v>
      </c>
      <c r="D182">
        <v>-5.258516500531063E-2</v>
      </c>
      <c r="E182">
        <v>-1.57E-3</v>
      </c>
      <c r="F182">
        <v>-9.1400000000000006E-3</v>
      </c>
      <c r="G182">
        <v>-2.7999999999999998E-4</v>
      </c>
      <c r="H182">
        <v>3.7100000000000002E-3</v>
      </c>
      <c r="I182">
        <v>-1.0120000000000001E-2</v>
      </c>
      <c r="J182">
        <v>0</v>
      </c>
      <c r="K182">
        <v>0</v>
      </c>
      <c r="L182">
        <v>1.3350000000000001E-2</v>
      </c>
      <c r="M182">
        <v>0</v>
      </c>
      <c r="N182">
        <v>-7.2700000000000004E-3</v>
      </c>
      <c r="O182">
        <v>0</v>
      </c>
      <c r="P182">
        <v>0</v>
      </c>
      <c r="Q182">
        <v>-2.0500000000000002E-3</v>
      </c>
      <c r="R182">
        <v>0</v>
      </c>
      <c r="S182">
        <v>0</v>
      </c>
      <c r="T182">
        <v>-8.0000000000000004E-4</v>
      </c>
      <c r="U182">
        <v>0</v>
      </c>
      <c r="V182">
        <v>0</v>
      </c>
      <c r="W182">
        <v>0</v>
      </c>
      <c r="X182">
        <v>-1.124E-2</v>
      </c>
      <c r="Y182">
        <v>1.9189999999999999E-2</v>
      </c>
      <c r="Z182">
        <v>0</v>
      </c>
      <c r="AA182">
        <v>0</v>
      </c>
      <c r="AB182">
        <v>0</v>
      </c>
      <c r="AC182">
        <v>-5.3899999999999998E-3</v>
      </c>
      <c r="AD182">
        <v>0</v>
      </c>
      <c r="AE182">
        <v>0</v>
      </c>
      <c r="AF182">
        <v>0</v>
      </c>
      <c r="AG182">
        <v>-4.8399999999999997E-3</v>
      </c>
      <c r="AH182">
        <v>0</v>
      </c>
      <c r="AI182">
        <v>1.6990000000000002E-2</v>
      </c>
    </row>
    <row r="183" spans="1:35" hidden="1" outlineLevel="1" x14ac:dyDescent="0.25">
      <c r="A183" s="1">
        <v>44620</v>
      </c>
      <c r="B183" s="8">
        <v>2.5000000000000001E-3</v>
      </c>
      <c r="C183">
        <v>-1.7399999999999999E-2</v>
      </c>
      <c r="D183">
        <v>-3.1360492102910142E-2</v>
      </c>
      <c r="E183">
        <v>-5.4000000000000003E-3</v>
      </c>
      <c r="F183">
        <v>2.3700000000000001E-3</v>
      </c>
      <c r="G183">
        <v>1.3500000000000001E-3</v>
      </c>
      <c r="H183">
        <v>-4.1999999999999997E-3</v>
      </c>
      <c r="I183">
        <v>-9.6100000000000005E-3</v>
      </c>
      <c r="J183">
        <v>0</v>
      </c>
      <c r="K183">
        <v>0</v>
      </c>
      <c r="L183">
        <v>4.4299999999999999E-3</v>
      </c>
      <c r="M183">
        <v>0</v>
      </c>
      <c r="N183">
        <v>3.63E-3</v>
      </c>
      <c r="O183">
        <v>0</v>
      </c>
      <c r="P183">
        <v>0</v>
      </c>
      <c r="Q183">
        <v>-1.6999999999999999E-3</v>
      </c>
      <c r="R183">
        <v>0</v>
      </c>
      <c r="S183">
        <v>0</v>
      </c>
      <c r="T183">
        <v>-1.1800000000000001E-3</v>
      </c>
      <c r="U183">
        <v>0</v>
      </c>
      <c r="V183">
        <v>0</v>
      </c>
      <c r="W183">
        <v>0</v>
      </c>
      <c r="X183">
        <v>-2.7999999999999998E-4</v>
      </c>
      <c r="Y183">
        <v>1.031E-2</v>
      </c>
      <c r="Z183">
        <v>0</v>
      </c>
      <c r="AA183">
        <v>0</v>
      </c>
      <c r="AB183">
        <v>0</v>
      </c>
      <c r="AC183">
        <v>-4.4900000000000001E-3</v>
      </c>
      <c r="AD183">
        <v>0</v>
      </c>
      <c r="AE183">
        <v>0</v>
      </c>
      <c r="AF183">
        <v>0</v>
      </c>
      <c r="AG183">
        <v>4.1099999999999999E-3</v>
      </c>
      <c r="AH183">
        <v>0</v>
      </c>
      <c r="AI183">
        <v>3.0999999999999999E-3</v>
      </c>
    </row>
    <row r="184" spans="1:35" hidden="1" outlineLevel="1" x14ac:dyDescent="0.25">
      <c r="A184" s="1">
        <v>44651</v>
      </c>
      <c r="B184" s="8">
        <v>0.03</v>
      </c>
      <c r="C184">
        <v>3.3000000000000002E-2</v>
      </c>
      <c r="D184">
        <v>3.5773288410591908E-2</v>
      </c>
      <c r="E184">
        <v>5.7499999999999999E-3</v>
      </c>
      <c r="F184">
        <v>5.4599999999999996E-3</v>
      </c>
      <c r="G184">
        <v>-3.5699999999999998E-3</v>
      </c>
      <c r="H184">
        <v>-6.2700000000000004E-3</v>
      </c>
      <c r="I184">
        <v>3.3800000000000002E-3</v>
      </c>
      <c r="J184">
        <v>0</v>
      </c>
      <c r="K184">
        <v>0</v>
      </c>
      <c r="L184">
        <v>3.3600000000000001E-3</v>
      </c>
      <c r="M184">
        <v>0</v>
      </c>
      <c r="N184">
        <v>-7.1900000000000002E-3</v>
      </c>
      <c r="O184">
        <v>0</v>
      </c>
      <c r="P184">
        <v>0</v>
      </c>
      <c r="Q184">
        <v>-1.4300000000000001E-3</v>
      </c>
      <c r="R184">
        <v>0</v>
      </c>
      <c r="S184">
        <v>0</v>
      </c>
      <c r="T184" s="2">
        <v>2.0000000000000002E-5</v>
      </c>
      <c r="U184">
        <v>0</v>
      </c>
      <c r="V184">
        <v>0</v>
      </c>
      <c r="W184">
        <v>0</v>
      </c>
      <c r="X184">
        <v>7.9900000000000006E-3</v>
      </c>
      <c r="Y184">
        <v>1.9259999999999999E-2</v>
      </c>
      <c r="Z184">
        <v>0</v>
      </c>
      <c r="AA184">
        <v>0</v>
      </c>
      <c r="AB184">
        <v>0</v>
      </c>
      <c r="AC184">
        <v>-2.1700000000000001E-3</v>
      </c>
      <c r="AD184">
        <v>0</v>
      </c>
      <c r="AE184">
        <v>0</v>
      </c>
      <c r="AF184">
        <v>0</v>
      </c>
      <c r="AG184">
        <v>1.64E-3</v>
      </c>
      <c r="AH184">
        <v>0</v>
      </c>
      <c r="AI184">
        <v>3.7399999999999998E-3</v>
      </c>
    </row>
    <row r="185" spans="1:35" hidden="1" outlineLevel="1" x14ac:dyDescent="0.25">
      <c r="A185" s="1">
        <v>44680</v>
      </c>
      <c r="B185" s="8">
        <v>-0.1411</v>
      </c>
      <c r="C185">
        <v>-7.4499999999999997E-2</v>
      </c>
      <c r="D185">
        <v>-8.7956711705729274E-2</v>
      </c>
      <c r="E185">
        <v>-9.7099999999999999E-3</v>
      </c>
      <c r="F185">
        <v>-2.112E-2</v>
      </c>
      <c r="G185">
        <v>-1.1780000000000001E-2</v>
      </c>
      <c r="H185">
        <v>-1.3440000000000001E-2</v>
      </c>
      <c r="I185">
        <v>-1.8249999999999999E-2</v>
      </c>
      <c r="J185">
        <v>0</v>
      </c>
      <c r="K185">
        <v>0</v>
      </c>
      <c r="L185">
        <v>-2.63E-3</v>
      </c>
      <c r="M185">
        <v>0</v>
      </c>
      <c r="N185">
        <v>-1.7590000000000001E-2</v>
      </c>
      <c r="O185">
        <v>0</v>
      </c>
      <c r="P185">
        <v>0</v>
      </c>
      <c r="Q185">
        <v>-4.3400000000000001E-3</v>
      </c>
      <c r="R185">
        <v>0</v>
      </c>
      <c r="S185">
        <v>0</v>
      </c>
      <c r="T185">
        <v>-3.8000000000000002E-4</v>
      </c>
      <c r="U185">
        <v>0</v>
      </c>
      <c r="V185">
        <v>0</v>
      </c>
      <c r="W185">
        <v>0</v>
      </c>
      <c r="X185">
        <v>-2.1489999999999999E-2</v>
      </c>
      <c r="Y185">
        <v>-1.8600000000000001E-3</v>
      </c>
      <c r="Z185">
        <v>0</v>
      </c>
      <c r="AA185">
        <v>0</v>
      </c>
      <c r="AB185">
        <v>0</v>
      </c>
      <c r="AC185">
        <v>-7.0600000000000003E-3</v>
      </c>
      <c r="AD185">
        <v>0</v>
      </c>
      <c r="AE185">
        <v>0</v>
      </c>
      <c r="AF185">
        <v>0</v>
      </c>
      <c r="AG185">
        <v>-1.375E-2</v>
      </c>
      <c r="AH185">
        <v>0</v>
      </c>
      <c r="AI185">
        <v>2.2699999999999999E-3</v>
      </c>
    </row>
    <row r="186" spans="1:35" hidden="1" outlineLevel="1" x14ac:dyDescent="0.25">
      <c r="A186" s="1">
        <v>44712</v>
      </c>
      <c r="B186" s="8">
        <v>3.7400000000000003E-2</v>
      </c>
      <c r="C186">
        <v>2.8899999999999999E-2</v>
      </c>
      <c r="D186">
        <v>5.3177568506868056E-5</v>
      </c>
      <c r="E186">
        <v>-5.4400000000000004E-3</v>
      </c>
      <c r="F186">
        <v>-2.9099999999999998E-3</v>
      </c>
      <c r="G186">
        <v>-6.1999999999999998E-3</v>
      </c>
      <c r="H186">
        <v>4.2599999999999999E-3</v>
      </c>
      <c r="I186">
        <v>7.11E-3</v>
      </c>
      <c r="J186">
        <v>0</v>
      </c>
      <c r="K186">
        <v>0</v>
      </c>
      <c r="L186">
        <v>1.061E-2</v>
      </c>
      <c r="M186">
        <v>0</v>
      </c>
      <c r="N186">
        <v>-1.01E-3</v>
      </c>
      <c r="O186">
        <v>0</v>
      </c>
      <c r="P186">
        <v>0</v>
      </c>
      <c r="Q186">
        <v>4.0000000000000001E-3</v>
      </c>
      <c r="R186">
        <v>0</v>
      </c>
      <c r="S186">
        <v>0</v>
      </c>
      <c r="T186">
        <v>5.5999999999999995E-4</v>
      </c>
      <c r="U186">
        <v>0</v>
      </c>
      <c r="V186">
        <v>0</v>
      </c>
      <c r="W186">
        <v>0</v>
      </c>
      <c r="X186">
        <v>4.4999999999999999E-4</v>
      </c>
      <c r="Y186">
        <v>1.6549999999999999E-2</v>
      </c>
      <c r="Z186">
        <v>0</v>
      </c>
      <c r="AA186">
        <v>0</v>
      </c>
      <c r="AB186">
        <v>0</v>
      </c>
      <c r="AC186">
        <v>-1.9400000000000001E-3</v>
      </c>
      <c r="AD186">
        <v>0</v>
      </c>
      <c r="AE186">
        <v>0</v>
      </c>
      <c r="AF186">
        <v>0</v>
      </c>
      <c r="AG186">
        <v>1.8E-3</v>
      </c>
      <c r="AH186">
        <v>0</v>
      </c>
      <c r="AI186">
        <v>9.5999999999999992E-3</v>
      </c>
    </row>
    <row r="187" spans="1:35" hidden="1" outlineLevel="1" x14ac:dyDescent="0.25">
      <c r="A187" s="1">
        <v>44742</v>
      </c>
      <c r="B187" s="8">
        <v>-0.113</v>
      </c>
      <c r="C187">
        <v>-8.2299999999999998E-2</v>
      </c>
      <c r="D187">
        <v>-8.3919999812243073E-2</v>
      </c>
      <c r="E187">
        <v>-8.1399999999999997E-3</v>
      </c>
      <c r="F187">
        <v>-1.035E-2</v>
      </c>
      <c r="G187">
        <v>2.14E-3</v>
      </c>
      <c r="H187">
        <v>-1.575E-2</v>
      </c>
      <c r="I187">
        <v>-8.2400000000000008E-3</v>
      </c>
      <c r="J187">
        <v>0</v>
      </c>
      <c r="K187">
        <v>0</v>
      </c>
      <c r="L187">
        <v>-1.14E-2</v>
      </c>
      <c r="M187">
        <v>0</v>
      </c>
      <c r="N187">
        <v>-1.372E-2</v>
      </c>
      <c r="O187">
        <v>0</v>
      </c>
      <c r="P187">
        <v>0</v>
      </c>
      <c r="Q187">
        <v>-5.4999999999999997E-3</v>
      </c>
      <c r="R187">
        <v>0</v>
      </c>
      <c r="S187">
        <v>0</v>
      </c>
      <c r="T187">
        <v>-1.64E-3</v>
      </c>
      <c r="U187">
        <v>0</v>
      </c>
      <c r="V187">
        <v>0</v>
      </c>
      <c r="W187">
        <v>0</v>
      </c>
      <c r="X187">
        <v>-1.261E-2</v>
      </c>
      <c r="Y187">
        <v>-9.5300000000000003E-3</v>
      </c>
      <c r="Z187">
        <v>0</v>
      </c>
      <c r="AA187">
        <v>0</v>
      </c>
      <c r="AB187">
        <v>0</v>
      </c>
      <c r="AC187">
        <v>-1.077E-2</v>
      </c>
      <c r="AD187">
        <v>0</v>
      </c>
      <c r="AE187">
        <v>0</v>
      </c>
      <c r="AF187">
        <v>0</v>
      </c>
      <c r="AG187">
        <v>1.3999999999999999E-4</v>
      </c>
      <c r="AH187">
        <v>0</v>
      </c>
      <c r="AI187">
        <v>-7.6E-3</v>
      </c>
    </row>
    <row r="188" spans="1:35" hidden="1" outlineLevel="1" x14ac:dyDescent="0.25">
      <c r="A188" s="1">
        <v>44771</v>
      </c>
      <c r="B188" s="8">
        <v>0.1351</v>
      </c>
      <c r="C188">
        <v>8.48E-2</v>
      </c>
      <c r="D188">
        <v>9.1116391659653351E-2</v>
      </c>
      <c r="E188">
        <v>1.8859999999999998E-2</v>
      </c>
      <c r="F188">
        <v>2.4060000000000002E-2</v>
      </c>
      <c r="G188">
        <v>8.7399999999999995E-3</v>
      </c>
      <c r="H188">
        <v>8.6099999999999996E-3</v>
      </c>
      <c r="I188">
        <v>9.8700000000000003E-3</v>
      </c>
      <c r="J188">
        <v>0</v>
      </c>
      <c r="K188">
        <v>0</v>
      </c>
      <c r="L188">
        <v>4.9699999999999996E-3</v>
      </c>
      <c r="M188">
        <v>0</v>
      </c>
      <c r="N188">
        <v>1.171E-2</v>
      </c>
      <c r="O188">
        <v>0</v>
      </c>
      <c r="P188">
        <v>0</v>
      </c>
      <c r="Q188">
        <v>1.24E-3</v>
      </c>
      <c r="R188">
        <v>0</v>
      </c>
      <c r="S188">
        <v>0</v>
      </c>
      <c r="T188">
        <v>1.31E-3</v>
      </c>
      <c r="U188">
        <v>0</v>
      </c>
      <c r="V188">
        <v>0</v>
      </c>
      <c r="W188">
        <v>0</v>
      </c>
      <c r="X188">
        <v>1.3299999999999999E-2</v>
      </c>
      <c r="Y188">
        <v>7.4799999999999997E-3</v>
      </c>
      <c r="Z188">
        <v>0</v>
      </c>
      <c r="AA188">
        <v>0</v>
      </c>
      <c r="AB188">
        <v>0</v>
      </c>
      <c r="AC188">
        <v>9.9000000000000008E-3</v>
      </c>
      <c r="AD188">
        <v>0</v>
      </c>
      <c r="AE188">
        <v>0</v>
      </c>
      <c r="AF188">
        <v>0</v>
      </c>
      <c r="AG188">
        <v>5.7800000000000004E-3</v>
      </c>
      <c r="AH188">
        <v>0</v>
      </c>
      <c r="AI188">
        <v>9.2800000000000001E-3</v>
      </c>
    </row>
    <row r="189" spans="1:35" hidden="1" outlineLevel="1" x14ac:dyDescent="0.25">
      <c r="A189" s="1">
        <v>44804</v>
      </c>
      <c r="B189" s="8">
        <v>-8.6E-3</v>
      </c>
      <c r="C189">
        <v>-2.6499999999999999E-2</v>
      </c>
      <c r="D189">
        <v>-4.2440128258508625E-2</v>
      </c>
      <c r="E189">
        <v>-3.1099999999999999E-3</v>
      </c>
      <c r="F189">
        <v>-5.3899999999999998E-3</v>
      </c>
      <c r="G189">
        <v>3.1E-4</v>
      </c>
      <c r="H189">
        <v>-5.9000000000000003E-4</v>
      </c>
      <c r="I189">
        <v>-4.2000000000000002E-4</v>
      </c>
      <c r="J189">
        <v>0</v>
      </c>
      <c r="K189">
        <v>0</v>
      </c>
      <c r="L189">
        <v>7.5100000000000002E-3</v>
      </c>
      <c r="M189">
        <v>0</v>
      </c>
      <c r="N189">
        <v>5.3299999999999997E-3</v>
      </c>
      <c r="O189">
        <v>0</v>
      </c>
      <c r="P189">
        <v>0</v>
      </c>
      <c r="Q189">
        <v>-5.1999999999999995E-4</v>
      </c>
      <c r="R189">
        <v>0</v>
      </c>
      <c r="S189">
        <v>0</v>
      </c>
      <c r="T189">
        <v>-1.49E-3</v>
      </c>
      <c r="U189">
        <v>0</v>
      </c>
      <c r="V189">
        <v>0</v>
      </c>
      <c r="W189">
        <v>0</v>
      </c>
      <c r="X189">
        <v>-1.1339999999999999E-2</v>
      </c>
      <c r="Y189">
        <v>5.1200000000000004E-3</v>
      </c>
      <c r="Z189">
        <v>0</v>
      </c>
      <c r="AA189">
        <v>0</v>
      </c>
      <c r="AB189">
        <v>0</v>
      </c>
      <c r="AC189">
        <v>-4.1999999999999997E-3</v>
      </c>
      <c r="AD189">
        <v>0</v>
      </c>
      <c r="AE189">
        <v>0</v>
      </c>
      <c r="AF189">
        <v>0</v>
      </c>
      <c r="AG189">
        <v>5.0000000000000001E-4</v>
      </c>
      <c r="AH189">
        <v>0</v>
      </c>
      <c r="AI189">
        <v>-3.3E-4</v>
      </c>
    </row>
    <row r="190" spans="1:35" hidden="1" outlineLevel="1" x14ac:dyDescent="0.25">
      <c r="A190" s="1">
        <v>44834</v>
      </c>
      <c r="B190" s="8">
        <v>-0.13250000000000001</v>
      </c>
      <c r="C190">
        <v>-0.1113</v>
      </c>
      <c r="D190">
        <v>-9.3395672060682666E-2</v>
      </c>
      <c r="E190">
        <v>-1.21E-2</v>
      </c>
      <c r="F190">
        <v>-9.6600000000000002E-3</v>
      </c>
      <c r="G190">
        <v>-1.2930000000000001E-2</v>
      </c>
      <c r="H190">
        <v>-9.4900000000000002E-3</v>
      </c>
      <c r="I190">
        <v>-1.669E-2</v>
      </c>
      <c r="J190">
        <v>0</v>
      </c>
      <c r="K190">
        <v>0</v>
      </c>
      <c r="L190">
        <v>-3.0599999999999998E-3</v>
      </c>
      <c r="M190">
        <v>0</v>
      </c>
      <c r="N190">
        <v>-1.4970000000000001E-2</v>
      </c>
      <c r="O190">
        <v>0</v>
      </c>
      <c r="P190">
        <v>0</v>
      </c>
      <c r="Q190">
        <v>-3.0100000000000001E-3</v>
      </c>
      <c r="R190">
        <v>0</v>
      </c>
      <c r="S190">
        <v>0</v>
      </c>
      <c r="T190">
        <v>-1.3699999999999999E-3</v>
      </c>
      <c r="U190">
        <v>0</v>
      </c>
      <c r="V190">
        <v>0</v>
      </c>
      <c r="W190">
        <v>0</v>
      </c>
      <c r="X190">
        <v>-1.312E-2</v>
      </c>
      <c r="Y190">
        <v>-8.5000000000000006E-3</v>
      </c>
      <c r="Z190">
        <v>0</v>
      </c>
      <c r="AA190">
        <v>0</v>
      </c>
      <c r="AB190">
        <v>0</v>
      </c>
      <c r="AC190">
        <v>-7.0400000000000003E-3</v>
      </c>
      <c r="AD190">
        <v>0</v>
      </c>
      <c r="AE190">
        <v>0</v>
      </c>
      <c r="AF190">
        <v>0</v>
      </c>
      <c r="AG190">
        <v>-1.4489999999999999E-2</v>
      </c>
      <c r="AH190">
        <v>0</v>
      </c>
      <c r="AI190">
        <v>-6.1000000000000004E-3</v>
      </c>
    </row>
    <row r="191" spans="1:35" hidden="1" outlineLevel="1" x14ac:dyDescent="0.25">
      <c r="A191" s="1">
        <v>44865</v>
      </c>
      <c r="B191" s="8">
        <v>0.14030000000000001</v>
      </c>
      <c r="C191">
        <v>0.1187</v>
      </c>
      <c r="D191">
        <v>7.9863413762746971E-2</v>
      </c>
      <c r="E191">
        <v>1.0959999999999999E-2</v>
      </c>
      <c r="F191">
        <v>-8.3099999999999997E-3</v>
      </c>
      <c r="G191">
        <v>9.3600000000000003E-3</v>
      </c>
      <c r="H191">
        <v>1.934E-2</v>
      </c>
      <c r="I191">
        <v>1.738E-2</v>
      </c>
      <c r="J191">
        <v>0</v>
      </c>
      <c r="K191">
        <v>0</v>
      </c>
      <c r="L191">
        <v>1.3599999999999999E-2</v>
      </c>
      <c r="M191">
        <v>0</v>
      </c>
      <c r="N191">
        <v>1.223E-2</v>
      </c>
      <c r="O191">
        <v>0</v>
      </c>
      <c r="P191">
        <v>0</v>
      </c>
      <c r="Q191">
        <v>7.9500000000000005E-3</v>
      </c>
      <c r="R191">
        <v>0</v>
      </c>
      <c r="S191">
        <v>0</v>
      </c>
      <c r="T191">
        <v>1.6999999999999999E-3</v>
      </c>
      <c r="U191">
        <v>0</v>
      </c>
      <c r="V191">
        <v>0</v>
      </c>
      <c r="W191">
        <v>0</v>
      </c>
      <c r="X191">
        <v>7.5100000000000002E-3</v>
      </c>
      <c r="Y191">
        <v>1.163E-2</v>
      </c>
      <c r="Z191">
        <v>0</v>
      </c>
      <c r="AA191">
        <v>0</v>
      </c>
      <c r="AB191">
        <v>0</v>
      </c>
      <c r="AC191">
        <v>1.468E-2</v>
      </c>
      <c r="AD191">
        <v>0</v>
      </c>
      <c r="AE191">
        <v>0</v>
      </c>
      <c r="AF191">
        <v>0</v>
      </c>
      <c r="AG191">
        <v>3.3E-3</v>
      </c>
      <c r="AH191">
        <v>0</v>
      </c>
      <c r="AI191">
        <v>1.8950000000000002E-2</v>
      </c>
    </row>
    <row r="192" spans="1:35" hidden="1" outlineLevel="1" x14ac:dyDescent="0.25">
      <c r="A192" s="1">
        <v>44895</v>
      </c>
      <c r="B192" s="8">
        <v>4.9799999999999997E-2</v>
      </c>
      <c r="C192">
        <v>6.5600000000000006E-2</v>
      </c>
      <c r="D192">
        <v>5.3752893371106669E-2</v>
      </c>
      <c r="E192">
        <v>-3.31E-3</v>
      </c>
      <c r="F192">
        <v>-5.1200000000000004E-3</v>
      </c>
      <c r="G192">
        <v>1.35E-2</v>
      </c>
      <c r="H192">
        <v>5.0200000000000002E-3</v>
      </c>
      <c r="I192">
        <v>1.085E-2</v>
      </c>
      <c r="J192">
        <v>0</v>
      </c>
      <c r="K192">
        <v>0</v>
      </c>
      <c r="L192">
        <v>-9.6000000000000002E-4</v>
      </c>
      <c r="M192">
        <v>0</v>
      </c>
      <c r="N192">
        <v>-7.6899999999999998E-3</v>
      </c>
      <c r="O192">
        <v>0</v>
      </c>
      <c r="P192">
        <v>0</v>
      </c>
      <c r="Q192">
        <v>3.63E-3</v>
      </c>
      <c r="R192">
        <v>0</v>
      </c>
      <c r="S192">
        <v>0</v>
      </c>
      <c r="T192">
        <v>1.6000000000000001E-4</v>
      </c>
      <c r="U192">
        <v>0</v>
      </c>
      <c r="V192">
        <v>0</v>
      </c>
      <c r="W192">
        <v>0</v>
      </c>
      <c r="X192">
        <v>1.7049999999999999E-2</v>
      </c>
      <c r="Y192">
        <v>-2.7499999999999998E-3</v>
      </c>
      <c r="Z192">
        <v>0</v>
      </c>
      <c r="AA192">
        <v>0</v>
      </c>
      <c r="AB192">
        <v>0</v>
      </c>
      <c r="AC192">
        <v>6.5700000000000003E-3</v>
      </c>
      <c r="AD192">
        <v>0</v>
      </c>
      <c r="AE192">
        <v>0</v>
      </c>
      <c r="AF192">
        <v>0</v>
      </c>
      <c r="AG192">
        <v>1.197E-2</v>
      </c>
      <c r="AH192">
        <v>0</v>
      </c>
      <c r="AI192">
        <v>9.1E-4</v>
      </c>
    </row>
    <row r="193" spans="1:35" hidden="1" outlineLevel="1" x14ac:dyDescent="0.25">
      <c r="A193" s="1">
        <v>44925</v>
      </c>
      <c r="B193" s="8">
        <v>0</v>
      </c>
      <c r="C193">
        <v>0</v>
      </c>
      <c r="D193">
        <v>-5.8971473977430078E-2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</row>
    <row r="194" spans="1:35" ht="30" customHeight="1" collapsed="1" x14ac:dyDescent="0.25">
      <c r="A194" s="13" t="s">
        <v>36</v>
      </c>
      <c r="B194" s="6" cm="1">
        <f t="array" ref="B194">GEOMEAN(1+B2:B193)^12-1</f>
        <v>0.13277367096726</v>
      </c>
      <c r="C194" s="6" cm="1">
        <f t="array" ref="C194">GEOMEAN(1+C2:C193)^12-1</f>
        <v>0.1340959749446462</v>
      </c>
      <c r="D194" s="6" cm="1">
        <f t="array" ref="D194">GEOMEAN(1+D2:D193)^12-1</f>
        <v>6.4220598295036346E-2</v>
      </c>
    </row>
    <row r="195" spans="1:35" x14ac:dyDescent="0.25">
      <c r="A195" t="s">
        <v>37</v>
      </c>
      <c r="B195" s="4">
        <f>_xlfn.STDEV.S(B2:B193)</f>
        <v>5.3676748931661279E-2</v>
      </c>
      <c r="C195" s="4">
        <f t="shared" ref="C195:D195" si="0">_xlfn.STDEV.S(C2:C193)</f>
        <v>4.7160839700017346E-2</v>
      </c>
      <c r="D195" s="4">
        <f t="shared" si="0"/>
        <v>4.6100648371501803E-2</v>
      </c>
    </row>
    <row r="196" spans="1:35" x14ac:dyDescent="0.25">
      <c r="A196" t="s">
        <v>38</v>
      </c>
      <c r="B196" s="4">
        <f>B195*SQRT(12)</f>
        <v>0.18594171266951157</v>
      </c>
      <c r="C196" s="4">
        <f t="shared" ref="C196:D196" si="1">C195*SQRT(12)</f>
        <v>0.16336994097608282</v>
      </c>
      <c r="D196" s="4">
        <f t="shared" si="1"/>
        <v>0.15969733048261708</v>
      </c>
    </row>
    <row r="197" spans="1:35" x14ac:dyDescent="0.25">
      <c r="A197" s="3" t="s">
        <v>39</v>
      </c>
      <c r="B197" s="14">
        <f>B194/B196</f>
        <v>0.71406070784799536</v>
      </c>
      <c r="C197" s="14">
        <f t="shared" ref="C197:D197" si="2">C194/C196</f>
        <v>0.8208117977117817</v>
      </c>
      <c r="D197" s="14">
        <f t="shared" si="2"/>
        <v>0.40213946032132769</v>
      </c>
    </row>
  </sheetData>
  <conditionalFormatting sqref="E2:AI2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AI19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197"/>
  <sheetViews>
    <sheetView workbookViewId="0">
      <pane ySplit="1" topLeftCell="A2" activePane="bottomLeft" state="frozen"/>
      <selection pane="bottomLeft" activeCell="D2" sqref="D2"/>
    </sheetView>
  </sheetViews>
  <sheetFormatPr defaultRowHeight="15" x14ac:dyDescent="0.25"/>
  <cols>
    <col min="1" max="1" width="10.7109375" bestFit="1" customWidth="1"/>
    <col min="2" max="2" width="13.28515625" bestFit="1" customWidth="1"/>
    <col min="3" max="3" width="19.85546875" bestFit="1" customWidth="1"/>
    <col min="4" max="4" width="12.7109375" bestFit="1" customWidth="1"/>
  </cols>
  <sheetData>
    <row r="1" spans="1:35" s="3" customFormat="1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3" t="s">
        <v>22</v>
      </c>
      <c r="X1" s="3" t="s">
        <v>23</v>
      </c>
      <c r="Y1" s="3" t="s">
        <v>24</v>
      </c>
      <c r="Z1" s="3" t="s">
        <v>25</v>
      </c>
      <c r="AA1" s="3" t="s">
        <v>26</v>
      </c>
      <c r="AB1" s="3" t="s">
        <v>27</v>
      </c>
      <c r="AC1" s="3" t="s">
        <v>28</v>
      </c>
      <c r="AD1" s="3" t="s">
        <v>29</v>
      </c>
      <c r="AE1" s="3" t="s">
        <v>30</v>
      </c>
      <c r="AF1" s="3" t="s">
        <v>31</v>
      </c>
      <c r="AG1" s="3" t="s">
        <v>32</v>
      </c>
      <c r="AH1" s="3" t="s">
        <v>33</v>
      </c>
      <c r="AI1" s="3" t="s">
        <v>34</v>
      </c>
    </row>
    <row r="2" spans="1:35" x14ac:dyDescent="0.25">
      <c r="A2" s="1">
        <v>39113</v>
      </c>
      <c r="B2" s="8">
        <v>1.2500000000000001E-2</v>
      </c>
      <c r="C2">
        <v>6.1999999999999998E-3</v>
      </c>
      <c r="D2">
        <v>1.4059077769160266E-2</v>
      </c>
      <c r="E2">
        <v>1.0499999999999999E-3</v>
      </c>
      <c r="F2">
        <v>-4.5399999999999998E-3</v>
      </c>
      <c r="G2">
        <v>0</v>
      </c>
      <c r="H2">
        <v>0</v>
      </c>
      <c r="I2">
        <v>0</v>
      </c>
      <c r="J2">
        <v>4.96E-3</v>
      </c>
      <c r="K2">
        <v>0</v>
      </c>
      <c r="L2">
        <v>0</v>
      </c>
      <c r="M2">
        <v>0</v>
      </c>
      <c r="N2">
        <v>2.63E-3</v>
      </c>
      <c r="O2">
        <v>0</v>
      </c>
      <c r="P2">
        <v>0</v>
      </c>
      <c r="Q2">
        <v>6.1500000000000001E-3</v>
      </c>
      <c r="R2">
        <v>0</v>
      </c>
      <c r="S2" s="2">
        <v>5.0000000000000002E-5</v>
      </c>
      <c r="T2">
        <v>0</v>
      </c>
      <c r="U2">
        <v>0</v>
      </c>
      <c r="V2">
        <v>0</v>
      </c>
      <c r="W2">
        <v>0</v>
      </c>
      <c r="X2">
        <v>-1.7180000000000001E-2</v>
      </c>
      <c r="Y2">
        <v>0</v>
      </c>
      <c r="Z2">
        <v>0</v>
      </c>
      <c r="AA2">
        <v>0</v>
      </c>
      <c r="AB2">
        <v>0</v>
      </c>
      <c r="AC2">
        <v>0</v>
      </c>
      <c r="AD2">
        <v>6.2500000000000003E-3</v>
      </c>
      <c r="AE2">
        <v>-1.8000000000000001E-4</v>
      </c>
      <c r="AF2">
        <v>0</v>
      </c>
      <c r="AG2">
        <v>0</v>
      </c>
      <c r="AH2">
        <v>1.332E-2</v>
      </c>
      <c r="AI2">
        <v>0</v>
      </c>
    </row>
    <row r="3" spans="1:35" x14ac:dyDescent="0.25">
      <c r="A3" s="1">
        <v>39141</v>
      </c>
      <c r="B3" s="8">
        <v>1.17E-2</v>
      </c>
      <c r="C3">
        <v>-6.7000000000000002E-3</v>
      </c>
      <c r="D3">
        <v>-2.1846176033528231E-2</v>
      </c>
      <c r="E3">
        <v>-1.31E-3</v>
      </c>
      <c r="F3">
        <v>3.8999999999999998E-3</v>
      </c>
      <c r="G3">
        <v>0</v>
      </c>
      <c r="H3">
        <v>0</v>
      </c>
      <c r="I3">
        <v>0</v>
      </c>
      <c r="J3">
        <v>5.5999999999999995E-4</v>
      </c>
      <c r="K3">
        <v>0</v>
      </c>
      <c r="L3">
        <v>0</v>
      </c>
      <c r="M3">
        <v>0</v>
      </c>
      <c r="N3">
        <v>-2.6199999999999999E-3</v>
      </c>
      <c r="O3">
        <v>0</v>
      </c>
      <c r="P3">
        <v>0</v>
      </c>
      <c r="Q3">
        <v>-3.0200000000000001E-3</v>
      </c>
      <c r="R3">
        <v>0</v>
      </c>
      <c r="S3">
        <v>-1.49E-3</v>
      </c>
      <c r="T3">
        <v>0</v>
      </c>
      <c r="U3">
        <v>0</v>
      </c>
      <c r="V3">
        <v>0</v>
      </c>
      <c r="W3">
        <v>0</v>
      </c>
      <c r="X3">
        <v>1.14E-3</v>
      </c>
      <c r="Y3">
        <v>0</v>
      </c>
      <c r="Z3">
        <v>0</v>
      </c>
      <c r="AA3">
        <v>0</v>
      </c>
      <c r="AB3">
        <v>0</v>
      </c>
      <c r="AC3">
        <v>0</v>
      </c>
      <c r="AD3">
        <v>-2.2100000000000002E-3</v>
      </c>
      <c r="AE3">
        <v>1.74E-3</v>
      </c>
      <c r="AF3">
        <v>0</v>
      </c>
      <c r="AG3">
        <v>0</v>
      </c>
      <c r="AH3">
        <v>1.499E-2</v>
      </c>
      <c r="AI3">
        <v>0</v>
      </c>
    </row>
    <row r="4" spans="1:35" x14ac:dyDescent="0.25">
      <c r="A4" s="1">
        <v>39171</v>
      </c>
      <c r="B4" s="8">
        <v>1.38E-2</v>
      </c>
      <c r="C4">
        <v>1.4999999999999999E-2</v>
      </c>
      <c r="D4">
        <v>9.9799828968305526E-3</v>
      </c>
      <c r="E4">
        <v>9.8099999999999993E-3</v>
      </c>
      <c r="F4">
        <v>1.66E-3</v>
      </c>
      <c r="G4">
        <v>0</v>
      </c>
      <c r="H4">
        <v>0</v>
      </c>
      <c r="I4">
        <v>0</v>
      </c>
      <c r="J4">
        <v>4.0400000000000002E-3</v>
      </c>
      <c r="K4">
        <v>0</v>
      </c>
      <c r="L4">
        <v>0</v>
      </c>
      <c r="M4">
        <v>0</v>
      </c>
      <c r="N4">
        <v>5.2999999999999998E-4</v>
      </c>
      <c r="O4">
        <v>0</v>
      </c>
      <c r="P4">
        <v>0</v>
      </c>
      <c r="Q4">
        <v>-2.0400000000000001E-3</v>
      </c>
      <c r="R4">
        <v>0</v>
      </c>
      <c r="S4">
        <v>3.1099999999999999E-3</v>
      </c>
      <c r="T4">
        <v>0</v>
      </c>
      <c r="U4">
        <v>0</v>
      </c>
      <c r="V4">
        <v>0</v>
      </c>
      <c r="W4">
        <v>0</v>
      </c>
      <c r="X4">
        <v>-7.1599999999999997E-3</v>
      </c>
      <c r="Y4">
        <v>0</v>
      </c>
      <c r="Z4">
        <v>0</v>
      </c>
      <c r="AA4">
        <v>0</v>
      </c>
      <c r="AB4">
        <v>0</v>
      </c>
      <c r="AC4">
        <v>0</v>
      </c>
      <c r="AD4">
        <v>7.1500000000000001E-3</v>
      </c>
      <c r="AE4">
        <v>-3.15E-3</v>
      </c>
      <c r="AF4">
        <v>0</v>
      </c>
      <c r="AG4">
        <v>0</v>
      </c>
      <c r="AH4">
        <v>-1.4999999999999999E-4</v>
      </c>
      <c r="AI4">
        <v>0</v>
      </c>
    </row>
    <row r="5" spans="1:35" x14ac:dyDescent="0.25">
      <c r="A5" s="1">
        <v>39202</v>
      </c>
      <c r="B5" s="8">
        <v>0.1051</v>
      </c>
      <c r="C5">
        <v>5.4800000000000001E-2</v>
      </c>
      <c r="D5">
        <v>4.3290690602424187E-2</v>
      </c>
      <c r="E5">
        <v>7.4200000000000004E-3</v>
      </c>
      <c r="F5">
        <v>5.4129999999999998E-2</v>
      </c>
      <c r="G5">
        <v>0</v>
      </c>
      <c r="H5">
        <v>0</v>
      </c>
      <c r="I5">
        <v>0</v>
      </c>
      <c r="J5">
        <v>8.7899999999999992E-3</v>
      </c>
      <c r="K5">
        <v>0</v>
      </c>
      <c r="L5">
        <v>0</v>
      </c>
      <c r="M5">
        <v>0</v>
      </c>
      <c r="N5">
        <v>1.6000000000000001E-3</v>
      </c>
      <c r="O5">
        <v>0</v>
      </c>
      <c r="P5">
        <v>0</v>
      </c>
      <c r="Q5">
        <v>8.3899999999999999E-3</v>
      </c>
      <c r="R5">
        <v>0</v>
      </c>
      <c r="S5">
        <v>7.1700000000000002E-3</v>
      </c>
      <c r="T5">
        <v>0</v>
      </c>
      <c r="U5">
        <v>0</v>
      </c>
      <c r="V5">
        <v>0</v>
      </c>
      <c r="W5">
        <v>0</v>
      </c>
      <c r="X5">
        <v>1.4279999999999999E-2</v>
      </c>
      <c r="Y5">
        <v>0</v>
      </c>
      <c r="Z5">
        <v>0</v>
      </c>
      <c r="AA5">
        <v>0</v>
      </c>
      <c r="AB5">
        <v>0</v>
      </c>
      <c r="AC5">
        <v>0</v>
      </c>
      <c r="AD5">
        <v>-8.9999999999999998E-4</v>
      </c>
      <c r="AE5">
        <v>-1.9499999999999999E-3</v>
      </c>
      <c r="AF5">
        <v>0</v>
      </c>
      <c r="AG5">
        <v>0</v>
      </c>
      <c r="AH5">
        <v>6.1700000000000001E-3</v>
      </c>
      <c r="AI5">
        <v>0</v>
      </c>
    </row>
    <row r="6" spans="1:35" x14ac:dyDescent="0.25">
      <c r="A6" s="1">
        <v>39233</v>
      </c>
      <c r="B6" s="8">
        <v>6.0600000000000001E-2</v>
      </c>
      <c r="C6">
        <v>3.7600000000000001E-2</v>
      </c>
      <c r="D6">
        <v>3.254922870993493E-2</v>
      </c>
      <c r="E6">
        <v>2.1430000000000001E-2</v>
      </c>
      <c r="F6">
        <v>1.273E-2</v>
      </c>
      <c r="G6">
        <v>0</v>
      </c>
      <c r="H6">
        <v>0</v>
      </c>
      <c r="I6">
        <v>0</v>
      </c>
      <c r="J6">
        <v>8.2100000000000003E-3</v>
      </c>
      <c r="K6">
        <v>0</v>
      </c>
      <c r="L6">
        <v>0</v>
      </c>
      <c r="M6">
        <v>0</v>
      </c>
      <c r="N6">
        <v>1.32E-3</v>
      </c>
      <c r="O6">
        <v>0</v>
      </c>
      <c r="P6">
        <v>0</v>
      </c>
      <c r="Q6">
        <v>-5.1999999999999995E-4</v>
      </c>
      <c r="R6">
        <v>0</v>
      </c>
      <c r="S6">
        <v>4.7000000000000002E-3</v>
      </c>
      <c r="T6">
        <v>0</v>
      </c>
      <c r="U6">
        <v>0</v>
      </c>
      <c r="V6">
        <v>0</v>
      </c>
      <c r="W6">
        <v>0</v>
      </c>
      <c r="X6">
        <v>5.3200000000000001E-3</v>
      </c>
      <c r="Y6">
        <v>0</v>
      </c>
      <c r="Z6">
        <v>0</v>
      </c>
      <c r="AA6">
        <v>0</v>
      </c>
      <c r="AB6">
        <v>0</v>
      </c>
      <c r="AC6">
        <v>0</v>
      </c>
      <c r="AD6">
        <v>6.77E-3</v>
      </c>
      <c r="AE6">
        <v>3.5100000000000001E-3</v>
      </c>
      <c r="AF6">
        <v>0</v>
      </c>
      <c r="AG6">
        <v>0</v>
      </c>
      <c r="AH6">
        <v>-2.8500000000000001E-3</v>
      </c>
      <c r="AI6">
        <v>0</v>
      </c>
    </row>
    <row r="7" spans="1:35" x14ac:dyDescent="0.25">
      <c r="A7" s="1">
        <v>39262</v>
      </c>
      <c r="B7" s="8">
        <v>1.29E-2</v>
      </c>
      <c r="C7">
        <v>-8.0000000000000002E-3</v>
      </c>
      <c r="D7">
        <v>-1.7816322202167556E-2</v>
      </c>
      <c r="E7">
        <v>6.9999999999999999E-4</v>
      </c>
      <c r="F7">
        <v>-1.06E-3</v>
      </c>
      <c r="G7">
        <v>0</v>
      </c>
      <c r="H7">
        <v>0</v>
      </c>
      <c r="I7">
        <v>0</v>
      </c>
      <c r="J7">
        <v>-3.6000000000000002E-4</v>
      </c>
      <c r="K7">
        <v>0</v>
      </c>
      <c r="L7">
        <v>0</v>
      </c>
      <c r="M7">
        <v>0</v>
      </c>
      <c r="N7">
        <v>-2.31E-3</v>
      </c>
      <c r="O7">
        <v>0</v>
      </c>
      <c r="P7">
        <v>0</v>
      </c>
      <c r="Q7">
        <v>-6.5199999999999998E-3</v>
      </c>
      <c r="R7">
        <v>0</v>
      </c>
      <c r="S7">
        <v>4.2000000000000002E-4</v>
      </c>
      <c r="T7">
        <v>0</v>
      </c>
      <c r="U7">
        <v>0</v>
      </c>
      <c r="V7">
        <v>0</v>
      </c>
      <c r="W7">
        <v>0</v>
      </c>
      <c r="X7">
        <v>1.9259999999999999E-2</v>
      </c>
      <c r="Y7">
        <v>0</v>
      </c>
      <c r="Z7">
        <v>0</v>
      </c>
      <c r="AA7">
        <v>0</v>
      </c>
      <c r="AB7">
        <v>0</v>
      </c>
      <c r="AC7">
        <v>0</v>
      </c>
      <c r="AD7">
        <v>3.8999999999999999E-4</v>
      </c>
      <c r="AE7">
        <v>6.6400000000000001E-3</v>
      </c>
      <c r="AF7">
        <v>0</v>
      </c>
      <c r="AG7">
        <v>0</v>
      </c>
      <c r="AH7">
        <v>-4.3E-3</v>
      </c>
      <c r="AI7">
        <v>0</v>
      </c>
    </row>
    <row r="8" spans="1:35" x14ac:dyDescent="0.25">
      <c r="A8" s="1">
        <v>39294</v>
      </c>
      <c r="B8" s="8">
        <v>-1.2800000000000001E-2</v>
      </c>
      <c r="C8">
        <v>-8.3999999999999995E-3</v>
      </c>
      <c r="D8">
        <v>-3.1981878316802548E-2</v>
      </c>
      <c r="E8">
        <v>7.9600000000000001E-3</v>
      </c>
      <c r="F8">
        <v>1.481E-2</v>
      </c>
      <c r="G8">
        <v>0</v>
      </c>
      <c r="H8">
        <v>0</v>
      </c>
      <c r="I8">
        <v>0</v>
      </c>
      <c r="J8">
        <v>1.1000000000000001E-3</v>
      </c>
      <c r="K8">
        <v>0</v>
      </c>
      <c r="L8">
        <v>0</v>
      </c>
      <c r="M8">
        <v>0</v>
      </c>
      <c r="N8">
        <v>-3.3400000000000001E-3</v>
      </c>
      <c r="O8">
        <v>0</v>
      </c>
      <c r="P8">
        <v>0</v>
      </c>
      <c r="Q8">
        <v>-8.3800000000000003E-3</v>
      </c>
      <c r="R8">
        <v>0</v>
      </c>
      <c r="S8">
        <v>-5.6899999999999997E-3</v>
      </c>
      <c r="T8">
        <v>0</v>
      </c>
      <c r="U8">
        <v>0</v>
      </c>
      <c r="V8">
        <v>0</v>
      </c>
      <c r="W8">
        <v>0</v>
      </c>
      <c r="X8">
        <v>1.077E-2</v>
      </c>
      <c r="Y8">
        <v>0</v>
      </c>
      <c r="Z8">
        <v>0</v>
      </c>
      <c r="AA8">
        <v>0</v>
      </c>
      <c r="AB8">
        <v>0</v>
      </c>
      <c r="AC8">
        <v>0</v>
      </c>
      <c r="AD8">
        <v>-4.7800000000000004E-3</v>
      </c>
      <c r="AE8">
        <v>-8.8000000000000005E-3</v>
      </c>
      <c r="AF8">
        <v>0</v>
      </c>
      <c r="AG8">
        <v>0</v>
      </c>
      <c r="AH8">
        <v>-1.643E-2</v>
      </c>
      <c r="AI8">
        <v>0</v>
      </c>
    </row>
    <row r="9" spans="1:35" x14ac:dyDescent="0.25">
      <c r="A9" s="1">
        <v>39325</v>
      </c>
      <c r="B9" s="8">
        <v>1.47E-2</v>
      </c>
      <c r="C9">
        <v>2.06E-2</v>
      </c>
      <c r="D9">
        <v>1.2863571531556817E-2</v>
      </c>
      <c r="E9">
        <v>5.1000000000000004E-3</v>
      </c>
      <c r="F9">
        <v>1.74E-3</v>
      </c>
      <c r="G9">
        <v>0</v>
      </c>
      <c r="H9">
        <v>0</v>
      </c>
      <c r="I9">
        <v>0</v>
      </c>
      <c r="J9">
        <v>-3.8500000000000001E-3</v>
      </c>
      <c r="K9">
        <v>0</v>
      </c>
      <c r="L9">
        <v>0</v>
      </c>
      <c r="M9">
        <v>0</v>
      </c>
      <c r="N9">
        <v>1.82E-3</v>
      </c>
      <c r="O9">
        <v>0</v>
      </c>
      <c r="P9">
        <v>0</v>
      </c>
      <c r="Q9">
        <v>1.16E-3</v>
      </c>
      <c r="R9">
        <v>0</v>
      </c>
      <c r="S9">
        <v>2.8800000000000002E-3</v>
      </c>
      <c r="T9">
        <v>0</v>
      </c>
      <c r="U9">
        <v>0</v>
      </c>
      <c r="V9">
        <v>0</v>
      </c>
      <c r="W9">
        <v>0</v>
      </c>
      <c r="X9">
        <v>1.18E-2</v>
      </c>
      <c r="Y9">
        <v>0</v>
      </c>
      <c r="Z9">
        <v>0</v>
      </c>
      <c r="AA9">
        <v>0</v>
      </c>
      <c r="AB9">
        <v>0</v>
      </c>
      <c r="AC9">
        <v>0</v>
      </c>
      <c r="AD9">
        <v>1.81E-3</v>
      </c>
      <c r="AE9">
        <v>-2.2699999999999999E-3</v>
      </c>
      <c r="AF9">
        <v>0</v>
      </c>
      <c r="AG9">
        <v>0</v>
      </c>
      <c r="AH9">
        <v>-5.4799999999999996E-3</v>
      </c>
      <c r="AI9">
        <v>0</v>
      </c>
    </row>
    <row r="10" spans="1:35" x14ac:dyDescent="0.25">
      <c r="A10" s="1">
        <v>39353</v>
      </c>
      <c r="B10" s="8">
        <v>6.0199999999999997E-2</v>
      </c>
      <c r="C10">
        <v>5.0299999999999997E-2</v>
      </c>
      <c r="D10">
        <v>3.5794008343299488E-2</v>
      </c>
      <c r="E10">
        <v>1.082E-2</v>
      </c>
      <c r="F10">
        <v>1.6570000000000001E-2</v>
      </c>
      <c r="G10">
        <v>0</v>
      </c>
      <c r="H10">
        <v>0</v>
      </c>
      <c r="I10">
        <v>0</v>
      </c>
      <c r="J10">
        <v>3.5100000000000001E-3</v>
      </c>
      <c r="K10">
        <v>0</v>
      </c>
      <c r="L10">
        <v>0</v>
      </c>
      <c r="M10">
        <v>0</v>
      </c>
      <c r="N10">
        <v>2.3500000000000001E-3</v>
      </c>
      <c r="O10">
        <v>0</v>
      </c>
      <c r="P10">
        <v>0</v>
      </c>
      <c r="Q10">
        <v>2.9199999999999999E-3</v>
      </c>
      <c r="R10">
        <v>0</v>
      </c>
      <c r="S10">
        <v>1.06E-2</v>
      </c>
      <c r="T10">
        <v>0</v>
      </c>
      <c r="U10">
        <v>0</v>
      </c>
      <c r="V10">
        <v>0</v>
      </c>
      <c r="W10">
        <v>0</v>
      </c>
      <c r="X10">
        <v>6.2500000000000003E-3</v>
      </c>
      <c r="Y10">
        <v>0</v>
      </c>
      <c r="Z10">
        <v>0</v>
      </c>
      <c r="AA10">
        <v>0</v>
      </c>
      <c r="AB10">
        <v>0</v>
      </c>
      <c r="AC10">
        <v>0</v>
      </c>
      <c r="AD10">
        <v>6.1199999999999996E-3</v>
      </c>
      <c r="AE10">
        <v>2.0200000000000001E-3</v>
      </c>
      <c r="AF10">
        <v>0</v>
      </c>
      <c r="AG10">
        <v>0</v>
      </c>
      <c r="AH10">
        <v>-9.6000000000000002E-4</v>
      </c>
      <c r="AI10">
        <v>0</v>
      </c>
    </row>
    <row r="11" spans="1:35" x14ac:dyDescent="0.25">
      <c r="A11" s="1">
        <v>39386</v>
      </c>
      <c r="B11" s="8">
        <v>2.7300000000000001E-2</v>
      </c>
      <c r="C11">
        <v>3.4700000000000002E-2</v>
      </c>
      <c r="D11">
        <v>1.4822338300311211E-2</v>
      </c>
      <c r="E11">
        <v>2.3769999999999999E-2</v>
      </c>
      <c r="F11">
        <v>-4.2900000000000004E-3</v>
      </c>
      <c r="G11">
        <v>0</v>
      </c>
      <c r="H11">
        <v>0</v>
      </c>
      <c r="I11">
        <v>0</v>
      </c>
      <c r="J11">
        <v>-4.4099999999999999E-3</v>
      </c>
      <c r="K11">
        <v>0</v>
      </c>
      <c r="L11">
        <v>0</v>
      </c>
      <c r="M11">
        <v>0</v>
      </c>
      <c r="N11">
        <v>6.9999999999999999E-4</v>
      </c>
      <c r="O11">
        <v>0</v>
      </c>
      <c r="P11">
        <v>0</v>
      </c>
      <c r="Q11">
        <v>3.3999999999999998E-3</v>
      </c>
      <c r="R11">
        <v>0</v>
      </c>
      <c r="S11">
        <v>9.6900000000000007E-3</v>
      </c>
      <c r="T11">
        <v>0</v>
      </c>
      <c r="U11">
        <v>0</v>
      </c>
      <c r="V11">
        <v>0</v>
      </c>
      <c r="W11">
        <v>0</v>
      </c>
      <c r="X11">
        <v>-2.3700000000000001E-3</v>
      </c>
      <c r="Y11">
        <v>0</v>
      </c>
      <c r="Z11">
        <v>0</v>
      </c>
      <c r="AA11">
        <v>0</v>
      </c>
      <c r="AB11">
        <v>0</v>
      </c>
      <c r="AC11">
        <v>0</v>
      </c>
      <c r="AD11">
        <v>-3.8999999999999999E-4</v>
      </c>
      <c r="AE11">
        <v>5.2399999999999999E-3</v>
      </c>
      <c r="AF11">
        <v>0</v>
      </c>
      <c r="AG11">
        <v>0</v>
      </c>
      <c r="AH11">
        <v>-4.0800000000000003E-3</v>
      </c>
      <c r="AI11">
        <v>0</v>
      </c>
    </row>
    <row r="12" spans="1:35" x14ac:dyDescent="0.25">
      <c r="A12" s="1">
        <v>39416</v>
      </c>
      <c r="B12" s="8">
        <v>-3.49E-2</v>
      </c>
      <c r="C12">
        <v>-1.7000000000000001E-2</v>
      </c>
      <c r="D12">
        <v>-4.4043417224814418E-2</v>
      </c>
      <c r="E12">
        <v>-4.0699999999999998E-3</v>
      </c>
      <c r="F12">
        <v>1.58E-3</v>
      </c>
      <c r="G12">
        <v>0</v>
      </c>
      <c r="H12">
        <v>0</v>
      </c>
      <c r="I12">
        <v>0</v>
      </c>
      <c r="J12">
        <v>-3.63E-3</v>
      </c>
      <c r="K12">
        <v>0</v>
      </c>
      <c r="L12">
        <v>0</v>
      </c>
      <c r="M12">
        <v>0</v>
      </c>
      <c r="N12">
        <v>-4.2700000000000004E-3</v>
      </c>
      <c r="O12">
        <v>0</v>
      </c>
      <c r="P12">
        <v>0</v>
      </c>
      <c r="Q12">
        <v>-2.9399999999999999E-3</v>
      </c>
      <c r="R12">
        <v>0</v>
      </c>
      <c r="S12">
        <v>3.6999999999999999E-4</v>
      </c>
      <c r="T12">
        <v>0</v>
      </c>
      <c r="U12">
        <v>0</v>
      </c>
      <c r="V12">
        <v>0</v>
      </c>
      <c r="W12">
        <v>0</v>
      </c>
      <c r="X12">
        <v>-1.085E-2</v>
      </c>
      <c r="Y12">
        <v>0</v>
      </c>
      <c r="Z12">
        <v>0</v>
      </c>
      <c r="AA12">
        <v>0</v>
      </c>
      <c r="AB12">
        <v>0</v>
      </c>
      <c r="AC12">
        <v>0</v>
      </c>
      <c r="AD12">
        <v>-8.5699999999999995E-3</v>
      </c>
      <c r="AE12">
        <v>-6.8500000000000002E-3</v>
      </c>
      <c r="AF12">
        <v>0</v>
      </c>
      <c r="AG12">
        <v>0</v>
      </c>
      <c r="AH12">
        <v>4.3899999999999998E-3</v>
      </c>
      <c r="AI12">
        <v>0</v>
      </c>
    </row>
    <row r="13" spans="1:35" x14ac:dyDescent="0.25">
      <c r="A13" s="1">
        <v>39447</v>
      </c>
      <c r="B13" s="8">
        <v>1.29E-2</v>
      </c>
      <c r="C13">
        <v>6.3E-3</v>
      </c>
      <c r="D13">
        <v>-8.6285090339686121E-3</v>
      </c>
      <c r="E13">
        <v>8.6999999999999994E-3</v>
      </c>
      <c r="F13">
        <v>2.3E-3</v>
      </c>
      <c r="G13">
        <v>0</v>
      </c>
      <c r="H13">
        <v>0</v>
      </c>
      <c r="I13">
        <v>0</v>
      </c>
      <c r="J13">
        <v>9.2000000000000003E-4</v>
      </c>
      <c r="K13">
        <v>0</v>
      </c>
      <c r="L13">
        <v>0</v>
      </c>
      <c r="M13">
        <v>0</v>
      </c>
      <c r="N13">
        <v>-1.57E-3</v>
      </c>
      <c r="O13">
        <v>0</v>
      </c>
      <c r="P13">
        <v>0</v>
      </c>
      <c r="Q13">
        <v>-4.3200000000000001E-3</v>
      </c>
      <c r="R13">
        <v>0</v>
      </c>
      <c r="S13">
        <v>7.5000000000000002E-4</v>
      </c>
      <c r="T13">
        <v>0</v>
      </c>
      <c r="U13">
        <v>0</v>
      </c>
      <c r="V13">
        <v>0</v>
      </c>
      <c r="W13">
        <v>0</v>
      </c>
      <c r="X13">
        <v>7.8600000000000007E-3</v>
      </c>
      <c r="Y13">
        <v>0</v>
      </c>
      <c r="Z13">
        <v>0</v>
      </c>
      <c r="AA13">
        <v>0</v>
      </c>
      <c r="AB13">
        <v>0</v>
      </c>
      <c r="AC13">
        <v>0</v>
      </c>
      <c r="AD13">
        <v>8.77E-3</v>
      </c>
      <c r="AE13">
        <v>4.0000000000000002E-4</v>
      </c>
      <c r="AF13">
        <v>0</v>
      </c>
      <c r="AG13">
        <v>0</v>
      </c>
      <c r="AH13">
        <v>-1.093E-2</v>
      </c>
      <c r="AI13">
        <v>0</v>
      </c>
    </row>
    <row r="14" spans="1:35" x14ac:dyDescent="0.25">
      <c r="A14" s="1">
        <v>39478</v>
      </c>
      <c r="B14" s="8">
        <v>-9.6299999999999997E-2</v>
      </c>
      <c r="C14">
        <v>-5.9900000000000002E-2</v>
      </c>
      <c r="D14">
        <v>-6.116343193593643E-2</v>
      </c>
      <c r="E14">
        <v>-3.1660000000000001E-2</v>
      </c>
      <c r="F14">
        <v>-1.6129999999999999E-2</v>
      </c>
      <c r="G14">
        <v>-4.8900000000000002E-3</v>
      </c>
      <c r="H14">
        <v>0</v>
      </c>
      <c r="I14">
        <v>0</v>
      </c>
      <c r="J14">
        <v>-1.67E-3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9.4599999999999997E-3</v>
      </c>
      <c r="R14">
        <v>0</v>
      </c>
      <c r="S14">
        <v>-9.0500000000000008E-3</v>
      </c>
      <c r="T14">
        <v>0</v>
      </c>
      <c r="U14">
        <v>0</v>
      </c>
      <c r="V14">
        <v>0</v>
      </c>
      <c r="W14">
        <v>0</v>
      </c>
      <c r="X14">
        <v>-2.7720000000000002E-2</v>
      </c>
      <c r="Y14">
        <v>0</v>
      </c>
      <c r="Z14">
        <v>0</v>
      </c>
      <c r="AA14">
        <v>0</v>
      </c>
      <c r="AB14">
        <v>0</v>
      </c>
      <c r="AC14">
        <v>0</v>
      </c>
      <c r="AD14">
        <v>-6.4200000000000004E-3</v>
      </c>
      <c r="AE14">
        <v>-7.1300000000000001E-3</v>
      </c>
      <c r="AF14">
        <v>0</v>
      </c>
      <c r="AG14">
        <v>0</v>
      </c>
      <c r="AH14">
        <v>-1.06E-3</v>
      </c>
      <c r="AI14">
        <v>0</v>
      </c>
    </row>
    <row r="15" spans="1:35" x14ac:dyDescent="0.25">
      <c r="A15" s="1">
        <v>39507</v>
      </c>
      <c r="B15" s="8">
        <v>-6.2300000000000001E-2</v>
      </c>
      <c r="C15">
        <v>-3.6999999999999998E-2</v>
      </c>
      <c r="D15">
        <v>-3.4761192772624461E-2</v>
      </c>
      <c r="E15">
        <v>-7.6400000000000001E-3</v>
      </c>
      <c r="F15">
        <v>-1.703E-2</v>
      </c>
      <c r="G15" s="2">
        <v>1.0000000000000001E-5</v>
      </c>
      <c r="H15">
        <v>0</v>
      </c>
      <c r="I15">
        <v>0</v>
      </c>
      <c r="J15">
        <v>1.89E-3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-1.4239999999999999E-2</v>
      </c>
      <c r="R15">
        <v>0</v>
      </c>
      <c r="S15">
        <v>1.6900000000000001E-3</v>
      </c>
      <c r="T15">
        <v>0</v>
      </c>
      <c r="U15">
        <v>0</v>
      </c>
      <c r="V15">
        <v>0</v>
      </c>
      <c r="W15">
        <v>0</v>
      </c>
      <c r="X15">
        <v>-1.3010000000000001E-2</v>
      </c>
      <c r="Y15">
        <v>0</v>
      </c>
      <c r="Z15">
        <v>0</v>
      </c>
      <c r="AA15">
        <v>0</v>
      </c>
      <c r="AB15">
        <v>0</v>
      </c>
      <c r="AC15">
        <v>0</v>
      </c>
      <c r="AD15">
        <v>-9.5099999999999994E-3</v>
      </c>
      <c r="AE15">
        <v>5.3E-3</v>
      </c>
      <c r="AF15">
        <v>0</v>
      </c>
      <c r="AG15">
        <v>0</v>
      </c>
      <c r="AH15">
        <v>-9.7900000000000001E-3</v>
      </c>
      <c r="AI15">
        <v>0</v>
      </c>
    </row>
    <row r="16" spans="1:35" x14ac:dyDescent="0.25">
      <c r="A16" s="1">
        <v>39538</v>
      </c>
      <c r="B16" s="8">
        <v>3.4799999999999998E-2</v>
      </c>
      <c r="C16">
        <v>1.7500000000000002E-2</v>
      </c>
      <c r="D16">
        <v>-5.9596236145298409E-3</v>
      </c>
      <c r="E16">
        <v>1.478E-2</v>
      </c>
      <c r="F16">
        <v>1.059E-2</v>
      </c>
      <c r="G16">
        <v>-1.017E-2</v>
      </c>
      <c r="H16">
        <v>0</v>
      </c>
      <c r="I16">
        <v>0</v>
      </c>
      <c r="J16">
        <v>8.2400000000000008E-3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5.6600000000000001E-3</v>
      </c>
      <c r="R16">
        <v>0</v>
      </c>
      <c r="S16">
        <v>3.0699999999999998E-3</v>
      </c>
      <c r="T16">
        <v>0</v>
      </c>
      <c r="U16">
        <v>0</v>
      </c>
      <c r="V16">
        <v>0</v>
      </c>
      <c r="W16">
        <v>0</v>
      </c>
      <c r="X16">
        <v>-7.4799999999999997E-3</v>
      </c>
      <c r="Y16">
        <v>0</v>
      </c>
      <c r="Z16">
        <v>0</v>
      </c>
      <c r="AA16">
        <v>0</v>
      </c>
      <c r="AB16">
        <v>0</v>
      </c>
      <c r="AC16">
        <v>0</v>
      </c>
      <c r="AD16">
        <v>9.9600000000000001E-3</v>
      </c>
      <c r="AE16">
        <v>5.4400000000000004E-3</v>
      </c>
      <c r="AF16">
        <v>0</v>
      </c>
      <c r="AG16">
        <v>0</v>
      </c>
      <c r="AH16">
        <v>-5.28E-3</v>
      </c>
      <c r="AI16">
        <v>0</v>
      </c>
    </row>
    <row r="17" spans="1:35" x14ac:dyDescent="0.25">
      <c r="A17" s="1">
        <v>39568</v>
      </c>
      <c r="B17" s="8">
        <v>8.8400000000000006E-2</v>
      </c>
      <c r="C17">
        <v>3.27E-2</v>
      </c>
      <c r="D17">
        <v>4.7546697913198877E-2</v>
      </c>
      <c r="E17">
        <v>2.1219999999999999E-2</v>
      </c>
      <c r="F17">
        <v>1.0279999999999999E-2</v>
      </c>
      <c r="G17">
        <v>1.4109999999999999E-2</v>
      </c>
      <c r="H17">
        <v>0</v>
      </c>
      <c r="I17">
        <v>0</v>
      </c>
      <c r="J17">
        <v>5.0499999999999998E-3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1.183E-2</v>
      </c>
      <c r="R17">
        <v>0</v>
      </c>
      <c r="S17">
        <v>6.8300000000000001E-3</v>
      </c>
      <c r="T17">
        <v>0</v>
      </c>
      <c r="U17">
        <v>0</v>
      </c>
      <c r="V17">
        <v>0</v>
      </c>
      <c r="W17">
        <v>0</v>
      </c>
      <c r="X17">
        <v>3.8400000000000001E-3</v>
      </c>
      <c r="Y17">
        <v>0</v>
      </c>
      <c r="Z17">
        <v>0</v>
      </c>
      <c r="AA17">
        <v>0</v>
      </c>
      <c r="AB17">
        <v>0</v>
      </c>
      <c r="AC17">
        <v>0</v>
      </c>
      <c r="AD17">
        <v>2.1099999999999999E-3</v>
      </c>
      <c r="AE17">
        <v>9.4500000000000001E-3</v>
      </c>
      <c r="AF17">
        <v>0</v>
      </c>
      <c r="AG17">
        <v>0</v>
      </c>
      <c r="AH17">
        <v>3.64E-3</v>
      </c>
      <c r="AI17">
        <v>0</v>
      </c>
    </row>
    <row r="18" spans="1:35" x14ac:dyDescent="0.25">
      <c r="A18" s="1">
        <v>39598</v>
      </c>
      <c r="B18" s="8">
        <v>3.8699999999999998E-2</v>
      </c>
      <c r="C18">
        <v>2.2200000000000001E-2</v>
      </c>
      <c r="D18">
        <v>1.0674181657577053E-2</v>
      </c>
      <c r="E18">
        <v>8.5100000000000002E-3</v>
      </c>
      <c r="F18">
        <v>3.8E-3</v>
      </c>
      <c r="G18">
        <v>-1.99E-3</v>
      </c>
      <c r="H18">
        <v>0</v>
      </c>
      <c r="I18">
        <v>0</v>
      </c>
      <c r="J18">
        <v>9.3000000000000005E-4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-9.7599999999999996E-3</v>
      </c>
      <c r="R18">
        <v>0</v>
      </c>
      <c r="S18">
        <v>-4.4000000000000002E-4</v>
      </c>
      <c r="T18">
        <v>0</v>
      </c>
      <c r="U18">
        <v>0</v>
      </c>
      <c r="V18">
        <v>0</v>
      </c>
      <c r="W18">
        <v>0</v>
      </c>
      <c r="X18">
        <v>2.019E-2</v>
      </c>
      <c r="Y18">
        <v>0</v>
      </c>
      <c r="Z18">
        <v>0</v>
      </c>
      <c r="AA18">
        <v>0</v>
      </c>
      <c r="AB18">
        <v>0</v>
      </c>
      <c r="AC18">
        <v>0</v>
      </c>
      <c r="AD18">
        <v>3.0699999999999998E-3</v>
      </c>
      <c r="AE18">
        <v>1.8699999999999999E-3</v>
      </c>
      <c r="AF18">
        <v>0</v>
      </c>
      <c r="AG18">
        <v>0</v>
      </c>
      <c r="AH18">
        <v>1.2500000000000001E-2</v>
      </c>
      <c r="AI18">
        <v>0</v>
      </c>
    </row>
    <row r="19" spans="1:35" x14ac:dyDescent="0.25">
      <c r="A19" s="1">
        <v>39629</v>
      </c>
      <c r="B19" s="8">
        <v>-0.14430000000000001</v>
      </c>
      <c r="C19">
        <v>-0.108</v>
      </c>
      <c r="D19">
        <v>-8.5962384902803612E-2</v>
      </c>
      <c r="E19">
        <v>-1.129E-2</v>
      </c>
      <c r="F19">
        <v>-1.0160000000000001E-2</v>
      </c>
      <c r="G19">
        <v>-2.06E-2</v>
      </c>
      <c r="H19">
        <v>0</v>
      </c>
      <c r="I19">
        <v>0</v>
      </c>
      <c r="J19">
        <v>-1.0670000000000001E-2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-2.0209999999999999E-2</v>
      </c>
      <c r="R19">
        <v>0</v>
      </c>
      <c r="S19">
        <v>-4.5900000000000003E-3</v>
      </c>
      <c r="T19">
        <v>0</v>
      </c>
      <c r="U19">
        <v>0</v>
      </c>
      <c r="V19">
        <v>0</v>
      </c>
      <c r="W19">
        <v>0</v>
      </c>
      <c r="X19">
        <v>-2.4209999999999999E-2</v>
      </c>
      <c r="Y19">
        <v>0</v>
      </c>
      <c r="Z19">
        <v>0</v>
      </c>
      <c r="AA19">
        <v>0</v>
      </c>
      <c r="AB19">
        <v>0</v>
      </c>
      <c r="AC19">
        <v>0</v>
      </c>
      <c r="AD19">
        <v>-1.5559999999999999E-2</v>
      </c>
      <c r="AE19">
        <v>-4.7200000000000002E-3</v>
      </c>
      <c r="AF19">
        <v>0</v>
      </c>
      <c r="AG19">
        <v>0</v>
      </c>
      <c r="AH19">
        <v>-2.2290000000000001E-2</v>
      </c>
      <c r="AI19">
        <v>0</v>
      </c>
    </row>
    <row r="20" spans="1:35" x14ac:dyDescent="0.25">
      <c r="A20" s="1">
        <v>39660</v>
      </c>
      <c r="B20" s="8">
        <v>-3.4200000000000001E-2</v>
      </c>
      <c r="C20">
        <v>8.3999999999999995E-3</v>
      </c>
      <c r="D20">
        <v>-9.8593710937500134E-3</v>
      </c>
      <c r="E20">
        <v>-5.0699999999999999E-3</v>
      </c>
      <c r="F20">
        <v>4.1000000000000003E-3</v>
      </c>
      <c r="G20">
        <v>-7.0099999999999997E-3</v>
      </c>
      <c r="H20">
        <v>0</v>
      </c>
      <c r="I20">
        <v>0</v>
      </c>
      <c r="J20">
        <v>-5.2599999999999999E-3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1.9529999999999999E-2</v>
      </c>
      <c r="R20">
        <v>0</v>
      </c>
      <c r="S20">
        <v>6.3499999999999997E-3</v>
      </c>
      <c r="T20">
        <v>0</v>
      </c>
      <c r="U20">
        <v>0</v>
      </c>
      <c r="V20">
        <v>0</v>
      </c>
      <c r="W20">
        <v>0</v>
      </c>
      <c r="X20">
        <v>-3.8890000000000001E-2</v>
      </c>
      <c r="Y20">
        <v>0</v>
      </c>
      <c r="Z20">
        <v>0</v>
      </c>
      <c r="AA20">
        <v>0</v>
      </c>
      <c r="AB20">
        <v>0</v>
      </c>
      <c r="AC20">
        <v>0</v>
      </c>
      <c r="AD20">
        <v>-7.3600000000000002E-3</v>
      </c>
      <c r="AE20">
        <v>-8.0000000000000002E-3</v>
      </c>
      <c r="AF20">
        <v>0</v>
      </c>
      <c r="AG20">
        <v>0</v>
      </c>
      <c r="AH20">
        <v>7.3800000000000003E-3</v>
      </c>
      <c r="AI20">
        <v>0</v>
      </c>
    </row>
    <row r="21" spans="1:35" x14ac:dyDescent="0.25">
      <c r="A21" s="1">
        <v>39689</v>
      </c>
      <c r="B21" s="8">
        <v>5.5100000000000003E-2</v>
      </c>
      <c r="C21">
        <v>3.56E-2</v>
      </c>
      <c r="D21">
        <v>1.2190464532380041E-2</v>
      </c>
      <c r="E21">
        <v>6.6600000000000001E-3</v>
      </c>
      <c r="F21">
        <v>5.8599999999999998E-3</v>
      </c>
      <c r="G21">
        <v>7.9399999999999991E-3</v>
      </c>
      <c r="H21">
        <v>0</v>
      </c>
      <c r="I21">
        <v>0</v>
      </c>
      <c r="J21">
        <v>1.74E-3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-5.2700000000000004E-3</v>
      </c>
      <c r="R21">
        <v>0</v>
      </c>
      <c r="S21">
        <v>4.3200000000000001E-3</v>
      </c>
      <c r="T21">
        <v>0</v>
      </c>
      <c r="U21">
        <v>0</v>
      </c>
      <c r="V21">
        <v>0</v>
      </c>
      <c r="W21">
        <v>0</v>
      </c>
      <c r="X21">
        <v>1.0489999999999999E-2</v>
      </c>
      <c r="Y21">
        <v>0</v>
      </c>
      <c r="Z21">
        <v>0</v>
      </c>
      <c r="AA21">
        <v>0</v>
      </c>
      <c r="AB21">
        <v>0</v>
      </c>
      <c r="AC21">
        <v>0</v>
      </c>
      <c r="AD21">
        <v>3.8300000000000001E-3</v>
      </c>
      <c r="AE21">
        <v>2.2100000000000002E-3</v>
      </c>
      <c r="AF21">
        <v>0</v>
      </c>
      <c r="AG21">
        <v>0</v>
      </c>
      <c r="AH21">
        <v>1.7350000000000001E-2</v>
      </c>
      <c r="AI21">
        <v>0</v>
      </c>
    </row>
    <row r="22" spans="1:35" x14ac:dyDescent="0.25">
      <c r="A22" s="1">
        <v>39721</v>
      </c>
      <c r="B22" s="8">
        <v>-8.2299999999999998E-2</v>
      </c>
      <c r="C22">
        <v>-4.7100000000000003E-2</v>
      </c>
      <c r="D22">
        <v>-9.0791433779084607E-2</v>
      </c>
      <c r="E22">
        <v>-3.2960000000000003E-2</v>
      </c>
      <c r="F22">
        <v>-9.9600000000000001E-3</v>
      </c>
      <c r="G22">
        <v>-1.252E-2</v>
      </c>
      <c r="H22">
        <v>0</v>
      </c>
      <c r="I22">
        <v>0</v>
      </c>
      <c r="J22">
        <v>-1.5740000000000001E-2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2.1329999999999998E-2</v>
      </c>
      <c r="R22">
        <v>0</v>
      </c>
      <c r="S22">
        <v>-4.8000000000000001E-4</v>
      </c>
      <c r="T22">
        <v>0</v>
      </c>
      <c r="U22">
        <v>0</v>
      </c>
      <c r="V22">
        <v>0</v>
      </c>
      <c r="W22">
        <v>0</v>
      </c>
      <c r="X22">
        <v>-1.5270000000000001E-2</v>
      </c>
      <c r="Y22">
        <v>0</v>
      </c>
      <c r="Z22">
        <v>0</v>
      </c>
      <c r="AA22">
        <v>0</v>
      </c>
      <c r="AB22">
        <v>0</v>
      </c>
      <c r="AC22">
        <v>0</v>
      </c>
      <c r="AD22">
        <v>-1.272E-2</v>
      </c>
      <c r="AE22">
        <v>-3.5000000000000001E-3</v>
      </c>
      <c r="AF22">
        <v>0</v>
      </c>
      <c r="AG22">
        <v>0</v>
      </c>
      <c r="AH22">
        <v>-4.4999999999999999E-4</v>
      </c>
      <c r="AI22">
        <v>0</v>
      </c>
    </row>
    <row r="23" spans="1:35" x14ac:dyDescent="0.25">
      <c r="A23" s="1">
        <v>39752</v>
      </c>
      <c r="B23" s="8">
        <v>-0.14729999999999999</v>
      </c>
      <c r="C23">
        <v>-0.15939999999999999</v>
      </c>
      <c r="D23">
        <v>-0.1694245237674199</v>
      </c>
      <c r="E23">
        <v>-5.3400000000000001E-3</v>
      </c>
      <c r="F23">
        <v>-2.1329999999999998E-2</v>
      </c>
      <c r="G23">
        <v>-8.6E-3</v>
      </c>
      <c r="H23">
        <v>0</v>
      </c>
      <c r="I23">
        <v>0</v>
      </c>
      <c r="J23">
        <v>-3.5200000000000002E-2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-1.086E-2</v>
      </c>
      <c r="R23">
        <v>0</v>
      </c>
      <c r="S23">
        <v>-6.11E-3</v>
      </c>
      <c r="T23">
        <v>0</v>
      </c>
      <c r="U23">
        <v>0</v>
      </c>
      <c r="V23">
        <v>0</v>
      </c>
      <c r="W23">
        <v>0</v>
      </c>
      <c r="X23">
        <v>-1.821E-2</v>
      </c>
      <c r="Y23">
        <v>0</v>
      </c>
      <c r="Z23">
        <v>0</v>
      </c>
      <c r="AA23">
        <v>0</v>
      </c>
      <c r="AB23">
        <v>0</v>
      </c>
      <c r="AC23">
        <v>0</v>
      </c>
      <c r="AD23">
        <v>-2.6900000000000001E-3</v>
      </c>
      <c r="AE23">
        <v>-1.1849999999999999E-2</v>
      </c>
      <c r="AF23">
        <v>0</v>
      </c>
      <c r="AG23">
        <v>0</v>
      </c>
      <c r="AH23">
        <v>-2.7140000000000001E-2</v>
      </c>
      <c r="AI23">
        <v>0</v>
      </c>
    </row>
    <row r="24" spans="1:35" x14ac:dyDescent="0.25">
      <c r="A24" s="1">
        <v>39780</v>
      </c>
      <c r="B24" s="8">
        <v>-8.09E-2</v>
      </c>
      <c r="C24">
        <v>-5.7700000000000001E-2</v>
      </c>
      <c r="D24">
        <v>-7.4849042580645175E-2</v>
      </c>
      <c r="E24">
        <v>-1.387E-2</v>
      </c>
      <c r="F24">
        <v>-2.5399999999999999E-2</v>
      </c>
      <c r="G24">
        <v>-1.7909999999999999E-2</v>
      </c>
      <c r="H24">
        <v>0</v>
      </c>
      <c r="I24">
        <v>0</v>
      </c>
      <c r="J24">
        <v>7.3000000000000001E-3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-2.325E-2</v>
      </c>
      <c r="R24">
        <v>0</v>
      </c>
      <c r="S24">
        <v>2.2799999999999999E-3</v>
      </c>
      <c r="T24">
        <v>0</v>
      </c>
      <c r="U24">
        <v>0</v>
      </c>
      <c r="V24">
        <v>0</v>
      </c>
      <c r="W24">
        <v>0</v>
      </c>
      <c r="X24">
        <v>-1.473E-2</v>
      </c>
      <c r="Y24">
        <v>0</v>
      </c>
      <c r="Z24">
        <v>0</v>
      </c>
      <c r="AA24">
        <v>0</v>
      </c>
      <c r="AB24">
        <v>0</v>
      </c>
      <c r="AC24">
        <v>0</v>
      </c>
      <c r="AD24">
        <v>6.6899999999999998E-3</v>
      </c>
      <c r="AE24">
        <v>-1.3440000000000001E-2</v>
      </c>
      <c r="AF24">
        <v>0</v>
      </c>
      <c r="AG24">
        <v>0</v>
      </c>
      <c r="AH24">
        <v>1.14E-2</v>
      </c>
      <c r="AI24">
        <v>0</v>
      </c>
    </row>
    <row r="25" spans="1:35" x14ac:dyDescent="0.25">
      <c r="A25" s="1">
        <v>39813</v>
      </c>
      <c r="B25" s="8">
        <v>6.0999999999999999E-2</v>
      </c>
      <c r="C25">
        <v>3.0599999999999999E-2</v>
      </c>
      <c r="D25">
        <v>7.8215768970539834E-3</v>
      </c>
      <c r="E25">
        <v>-7.9000000000000008E-3</v>
      </c>
      <c r="F25">
        <v>2.009E-2</v>
      </c>
      <c r="G25" s="2">
        <v>9.0000000000000006E-5</v>
      </c>
      <c r="H25">
        <v>0</v>
      </c>
      <c r="I25">
        <v>0</v>
      </c>
      <c r="J25">
        <v>8.9800000000000001E-3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-4.0999999999999999E-4</v>
      </c>
      <c r="R25">
        <v>0</v>
      </c>
      <c r="S25">
        <v>5.8599999999999998E-3</v>
      </c>
      <c r="T25">
        <v>0</v>
      </c>
      <c r="U25">
        <v>0</v>
      </c>
      <c r="V25">
        <v>0</v>
      </c>
      <c r="W25">
        <v>0</v>
      </c>
      <c r="X25">
        <v>8.0300000000000007E-3</v>
      </c>
      <c r="Y25">
        <v>0</v>
      </c>
      <c r="Z25">
        <v>0</v>
      </c>
      <c r="AA25">
        <v>0</v>
      </c>
      <c r="AB25">
        <v>0</v>
      </c>
      <c r="AC25">
        <v>0</v>
      </c>
      <c r="AD25">
        <v>-2.1000000000000001E-4</v>
      </c>
      <c r="AE25">
        <v>1.0489999999999999E-2</v>
      </c>
      <c r="AF25">
        <v>0</v>
      </c>
      <c r="AG25">
        <v>0</v>
      </c>
      <c r="AH25">
        <v>1.601E-2</v>
      </c>
      <c r="AI25">
        <v>0</v>
      </c>
    </row>
    <row r="26" spans="1:35" x14ac:dyDescent="0.25">
      <c r="A26" s="1">
        <v>39843</v>
      </c>
      <c r="B26" s="8">
        <v>-8.6599999999999996E-2</v>
      </c>
      <c r="C26">
        <v>-0.1037</v>
      </c>
      <c r="D26">
        <v>-8.5657342928314395E-2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-4.5199999999999997E-3</v>
      </c>
      <c r="L26">
        <v>0</v>
      </c>
      <c r="M26">
        <v>-1.8400000000000001E-3</v>
      </c>
      <c r="N26">
        <v>0</v>
      </c>
      <c r="O26">
        <v>0</v>
      </c>
      <c r="P26">
        <v>-3.5799999999999998E-3</v>
      </c>
      <c r="Q26">
        <v>0</v>
      </c>
      <c r="R26">
        <v>-5.6299999999999996E-3</v>
      </c>
      <c r="S26">
        <v>0</v>
      </c>
      <c r="T26">
        <v>-6.5199999999999998E-3</v>
      </c>
      <c r="U26">
        <v>0</v>
      </c>
      <c r="V26">
        <v>0</v>
      </c>
      <c r="W26">
        <v>0</v>
      </c>
      <c r="X26">
        <v>0</v>
      </c>
      <c r="Y26">
        <v>0</v>
      </c>
      <c r="Z26">
        <v>-1.7670000000000002E-2</v>
      </c>
      <c r="AA26">
        <v>-1.119E-2</v>
      </c>
      <c r="AB26">
        <v>-8.4600000000000005E-3</v>
      </c>
      <c r="AC26">
        <v>0</v>
      </c>
      <c r="AD26">
        <v>0</v>
      </c>
      <c r="AE26">
        <v>0</v>
      </c>
      <c r="AF26">
        <v>0</v>
      </c>
      <c r="AG26">
        <v>-2.2970000000000001E-2</v>
      </c>
      <c r="AH26">
        <v>0</v>
      </c>
      <c r="AI26">
        <v>-4.1999999999999997E-3</v>
      </c>
    </row>
    <row r="27" spans="1:35" x14ac:dyDescent="0.25">
      <c r="A27" s="1">
        <v>39871</v>
      </c>
      <c r="B27" s="8">
        <v>-9.9000000000000005E-2</v>
      </c>
      <c r="C27">
        <v>-0.1217</v>
      </c>
      <c r="D27">
        <v>-0.10993119757149228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-7.4700000000000001E-3</v>
      </c>
      <c r="L27">
        <v>0</v>
      </c>
      <c r="M27">
        <v>-1.2970000000000001E-2</v>
      </c>
      <c r="N27">
        <v>0</v>
      </c>
      <c r="O27">
        <v>0</v>
      </c>
      <c r="P27">
        <v>-1.2529999999999999E-2</v>
      </c>
      <c r="Q27">
        <v>0</v>
      </c>
      <c r="R27">
        <v>-4.3800000000000002E-3</v>
      </c>
      <c r="S27">
        <v>0</v>
      </c>
      <c r="T27">
        <v>-1.4540000000000001E-2</v>
      </c>
      <c r="U27">
        <v>0</v>
      </c>
      <c r="V27">
        <v>0</v>
      </c>
      <c r="W27">
        <v>0</v>
      </c>
      <c r="X27">
        <v>0</v>
      </c>
      <c r="Y27">
        <v>0</v>
      </c>
      <c r="Z27">
        <v>-1.337E-2</v>
      </c>
      <c r="AA27">
        <v>-1.1610000000000001E-2</v>
      </c>
      <c r="AB27">
        <v>-9.3900000000000008E-3</v>
      </c>
      <c r="AC27">
        <v>0</v>
      </c>
      <c r="AD27">
        <v>0</v>
      </c>
      <c r="AE27">
        <v>0</v>
      </c>
      <c r="AF27">
        <v>0</v>
      </c>
      <c r="AG27">
        <v>-2.0200000000000001E-3</v>
      </c>
      <c r="AH27">
        <v>0</v>
      </c>
      <c r="AI27">
        <v>-1.0699999999999999E-2</v>
      </c>
    </row>
    <row r="28" spans="1:35" x14ac:dyDescent="0.25">
      <c r="A28" s="1">
        <v>39903</v>
      </c>
      <c r="B28" s="8">
        <v>5.3100000000000001E-2</v>
      </c>
      <c r="C28">
        <v>0.1244</v>
      </c>
      <c r="D28">
        <v>8.540446162249471E-2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-1.99E-3</v>
      </c>
      <c r="L28">
        <v>0</v>
      </c>
      <c r="M28">
        <v>2.6800000000000001E-3</v>
      </c>
      <c r="N28">
        <v>0</v>
      </c>
      <c r="O28">
        <v>0</v>
      </c>
      <c r="P28">
        <v>5.1999999999999998E-3</v>
      </c>
      <c r="Q28">
        <v>0</v>
      </c>
      <c r="R28">
        <v>8.5900000000000004E-3</v>
      </c>
      <c r="S28">
        <v>0</v>
      </c>
      <c r="T28">
        <v>9.3699999999999999E-3</v>
      </c>
      <c r="U28">
        <v>0</v>
      </c>
      <c r="V28">
        <v>0</v>
      </c>
      <c r="W28">
        <v>0</v>
      </c>
      <c r="X28">
        <v>0</v>
      </c>
      <c r="Y28">
        <v>0</v>
      </c>
      <c r="Z28">
        <v>1.064E-2</v>
      </c>
      <c r="AA28">
        <v>-2.2399999999999998E-3</v>
      </c>
      <c r="AB28">
        <v>1.0200000000000001E-3</v>
      </c>
      <c r="AC28">
        <v>0</v>
      </c>
      <c r="AD28">
        <v>0</v>
      </c>
      <c r="AE28">
        <v>0</v>
      </c>
      <c r="AF28">
        <v>0</v>
      </c>
      <c r="AG28">
        <v>1.9519999999999999E-2</v>
      </c>
      <c r="AH28">
        <v>0</v>
      </c>
      <c r="AI28">
        <v>2.9E-4</v>
      </c>
    </row>
    <row r="29" spans="1:35" x14ac:dyDescent="0.25">
      <c r="A29" s="1">
        <v>39933</v>
      </c>
      <c r="B29" s="8">
        <v>1.54E-2</v>
      </c>
      <c r="C29">
        <v>0.1106</v>
      </c>
      <c r="D29">
        <v>9.3925079862164695E-2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7.7999999999999999E-4</v>
      </c>
      <c r="L29">
        <v>0</v>
      </c>
      <c r="M29">
        <v>-2.6800000000000001E-3</v>
      </c>
      <c r="N29">
        <v>0</v>
      </c>
      <c r="O29">
        <v>0</v>
      </c>
      <c r="P29">
        <v>-4.6000000000000001E-4</v>
      </c>
      <c r="Q29">
        <v>0</v>
      </c>
      <c r="R29">
        <v>-2.0500000000000002E-3</v>
      </c>
      <c r="S29">
        <v>0</v>
      </c>
      <c r="T29">
        <v>1.585E-2</v>
      </c>
      <c r="U29">
        <v>0</v>
      </c>
      <c r="V29">
        <v>0</v>
      </c>
      <c r="W29">
        <v>0</v>
      </c>
      <c r="X29">
        <v>0</v>
      </c>
      <c r="Y29">
        <v>0</v>
      </c>
      <c r="Z29">
        <v>-1.91E-3</v>
      </c>
      <c r="AA29">
        <v>5.9199999999999999E-3</v>
      </c>
      <c r="AB29">
        <v>-4.2500000000000003E-3</v>
      </c>
      <c r="AC29">
        <v>0</v>
      </c>
      <c r="AD29">
        <v>0</v>
      </c>
      <c r="AE29">
        <v>0</v>
      </c>
      <c r="AF29">
        <v>0</v>
      </c>
      <c r="AG29">
        <v>6.3400000000000001E-3</v>
      </c>
      <c r="AH29">
        <v>0</v>
      </c>
      <c r="AI29">
        <v>-2.0999999999999999E-3</v>
      </c>
    </row>
    <row r="30" spans="1:35" x14ac:dyDescent="0.25">
      <c r="A30" s="1">
        <v>39962</v>
      </c>
      <c r="B30" s="8">
        <v>6.0699999999999997E-2</v>
      </c>
      <c r="C30">
        <v>6.4500000000000002E-2</v>
      </c>
      <c r="D30">
        <v>5.3081446255385467E-2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1.1780000000000001E-2</v>
      </c>
      <c r="L30">
        <v>0</v>
      </c>
      <c r="M30">
        <v>6.8599999999999998E-3</v>
      </c>
      <c r="N30">
        <v>0</v>
      </c>
      <c r="O30">
        <v>0</v>
      </c>
      <c r="P30">
        <v>6.28E-3</v>
      </c>
      <c r="Q30">
        <v>0</v>
      </c>
      <c r="R30">
        <v>1.4189999999999999E-2</v>
      </c>
      <c r="S30">
        <v>0</v>
      </c>
      <c r="T30" s="2">
        <v>2.0000000000000002E-5</v>
      </c>
      <c r="U30">
        <v>0</v>
      </c>
      <c r="V30">
        <v>0</v>
      </c>
      <c r="W30">
        <v>0</v>
      </c>
      <c r="X30">
        <v>0</v>
      </c>
      <c r="Y30">
        <v>0</v>
      </c>
      <c r="Z30">
        <v>1.49E-2</v>
      </c>
      <c r="AA30">
        <v>5.0600000000000003E-3</v>
      </c>
      <c r="AB30">
        <v>-1.6299999999999999E-3</v>
      </c>
      <c r="AC30">
        <v>0</v>
      </c>
      <c r="AD30">
        <v>0</v>
      </c>
      <c r="AE30">
        <v>0</v>
      </c>
      <c r="AF30">
        <v>0</v>
      </c>
      <c r="AG30">
        <v>-1.4300000000000001E-3</v>
      </c>
      <c r="AH30">
        <v>0</v>
      </c>
      <c r="AI30">
        <v>4.6499999999999996E-3</v>
      </c>
    </row>
    <row r="31" spans="1:35" x14ac:dyDescent="0.25">
      <c r="A31" s="1">
        <v>39994</v>
      </c>
      <c r="B31" s="8">
        <v>2.4400000000000002E-2</v>
      </c>
      <c r="C31">
        <v>0</v>
      </c>
      <c r="D31">
        <v>1.9582653030303376E-4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7.26E-3</v>
      </c>
      <c r="L31">
        <v>0</v>
      </c>
      <c r="M31">
        <v>5.13E-3</v>
      </c>
      <c r="N31">
        <v>0</v>
      </c>
      <c r="O31">
        <v>0</v>
      </c>
      <c r="P31">
        <v>2.97E-3</v>
      </c>
      <c r="Q31">
        <v>0</v>
      </c>
      <c r="R31">
        <v>-1.5499999999999999E-3</v>
      </c>
      <c r="S31">
        <v>0</v>
      </c>
      <c r="T31">
        <v>5.2500000000000003E-3</v>
      </c>
      <c r="U31">
        <v>0</v>
      </c>
      <c r="V31">
        <v>0</v>
      </c>
      <c r="W31">
        <v>0</v>
      </c>
      <c r="X31">
        <v>0</v>
      </c>
      <c r="Y31">
        <v>0</v>
      </c>
      <c r="Z31">
        <v>-1.25E-3</v>
      </c>
      <c r="AA31">
        <v>-1.6199999999999999E-3</v>
      </c>
      <c r="AB31">
        <v>9.6799999999999994E-3</v>
      </c>
      <c r="AC31">
        <v>0</v>
      </c>
      <c r="AD31">
        <v>0</v>
      </c>
      <c r="AE31">
        <v>0</v>
      </c>
      <c r="AF31">
        <v>0</v>
      </c>
      <c r="AG31">
        <v>-2.2499999999999998E-3</v>
      </c>
      <c r="AH31">
        <v>0</v>
      </c>
      <c r="AI31">
        <v>8.0999999999999996E-4</v>
      </c>
    </row>
    <row r="32" spans="1:35" x14ac:dyDescent="0.25">
      <c r="A32" s="1">
        <v>40025</v>
      </c>
      <c r="B32" s="8">
        <v>5.8599999999999999E-2</v>
      </c>
      <c r="C32">
        <v>8.1299999999999997E-2</v>
      </c>
      <c r="D32">
        <v>7.4141727016716619E-2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3.0300000000000001E-3</v>
      </c>
      <c r="L32">
        <v>0</v>
      </c>
      <c r="M32">
        <v>1.14E-3</v>
      </c>
      <c r="N32">
        <v>0</v>
      </c>
      <c r="O32">
        <v>0</v>
      </c>
      <c r="P32">
        <v>7.1999999999999998E-3</v>
      </c>
      <c r="Q32">
        <v>0</v>
      </c>
      <c r="R32">
        <v>3.8600000000000001E-3</v>
      </c>
      <c r="S32">
        <v>0</v>
      </c>
      <c r="T32">
        <v>1.7340000000000001E-2</v>
      </c>
      <c r="U32">
        <v>0</v>
      </c>
      <c r="V32">
        <v>0</v>
      </c>
      <c r="W32">
        <v>0</v>
      </c>
      <c r="X32">
        <v>0</v>
      </c>
      <c r="Y32">
        <v>0</v>
      </c>
      <c r="Z32">
        <v>6.1999999999999998E-3</v>
      </c>
      <c r="AA32">
        <v>9.4900000000000002E-3</v>
      </c>
      <c r="AB32">
        <v>2.1700000000000001E-3</v>
      </c>
      <c r="AC32">
        <v>0</v>
      </c>
      <c r="AD32">
        <v>0</v>
      </c>
      <c r="AE32">
        <v>0</v>
      </c>
      <c r="AF32">
        <v>0</v>
      </c>
      <c r="AG32">
        <v>7.4799999999999997E-3</v>
      </c>
      <c r="AH32">
        <v>0</v>
      </c>
      <c r="AI32">
        <v>6.8999999999999997E-4</v>
      </c>
    </row>
    <row r="33" spans="1:35" x14ac:dyDescent="0.25">
      <c r="A33" s="1">
        <v>40056</v>
      </c>
      <c r="B33" s="8">
        <v>2.3E-3</v>
      </c>
      <c r="C33">
        <v>3.8800000000000001E-2</v>
      </c>
      <c r="D33">
        <v>3.3560189240494864E-2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3.6000000000000002E-4</v>
      </c>
      <c r="L33">
        <v>0</v>
      </c>
      <c r="M33">
        <v>-8.4000000000000003E-4</v>
      </c>
      <c r="N33">
        <v>0</v>
      </c>
      <c r="O33">
        <v>0</v>
      </c>
      <c r="P33" s="2">
        <v>6.9999999999999994E-5</v>
      </c>
      <c r="Q33">
        <v>0</v>
      </c>
      <c r="R33">
        <v>-2.15E-3</v>
      </c>
      <c r="S33">
        <v>0</v>
      </c>
      <c r="T33">
        <v>2.96E-3</v>
      </c>
      <c r="U33">
        <v>0</v>
      </c>
      <c r="V33">
        <v>0</v>
      </c>
      <c r="W33">
        <v>0</v>
      </c>
      <c r="X33">
        <v>0</v>
      </c>
      <c r="Y33">
        <v>0</v>
      </c>
      <c r="Z33">
        <v>5.8399999999999997E-3</v>
      </c>
      <c r="AA33">
        <v>-2.5200000000000001E-3</v>
      </c>
      <c r="AB33">
        <v>-6.4000000000000005E-4</v>
      </c>
      <c r="AC33">
        <v>0</v>
      </c>
      <c r="AD33">
        <v>0</v>
      </c>
      <c r="AE33">
        <v>0</v>
      </c>
      <c r="AF33">
        <v>0</v>
      </c>
      <c r="AG33">
        <v>3.4000000000000002E-4</v>
      </c>
      <c r="AH33">
        <v>0</v>
      </c>
      <c r="AI33">
        <v>-1.16E-3</v>
      </c>
    </row>
    <row r="34" spans="1:35" x14ac:dyDescent="0.25">
      <c r="A34" s="1">
        <v>40086</v>
      </c>
      <c r="B34" s="8">
        <v>3.5799999999999998E-2</v>
      </c>
      <c r="C34">
        <v>5.3699999999999998E-2</v>
      </c>
      <c r="D34">
        <v>3.5723345788458705E-2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4.9199999999999999E-3</v>
      </c>
      <c r="L34">
        <v>0</v>
      </c>
      <c r="M34">
        <v>4.2900000000000004E-3</v>
      </c>
      <c r="N34">
        <v>0</v>
      </c>
      <c r="O34">
        <v>0</v>
      </c>
      <c r="P34">
        <v>7.3999999999999999E-4</v>
      </c>
      <c r="Q34">
        <v>0</v>
      </c>
      <c r="R34">
        <v>1.095E-2</v>
      </c>
      <c r="S34">
        <v>0</v>
      </c>
      <c r="T34">
        <v>2.3600000000000001E-3</v>
      </c>
      <c r="U34">
        <v>0</v>
      </c>
      <c r="V34">
        <v>0</v>
      </c>
      <c r="W34">
        <v>0</v>
      </c>
      <c r="X34">
        <v>0</v>
      </c>
      <c r="Y34">
        <v>0</v>
      </c>
      <c r="Z34">
        <v>-8.9999999999999998E-4</v>
      </c>
      <c r="AA34">
        <v>7.0400000000000003E-3</v>
      </c>
      <c r="AB34">
        <v>1.5100000000000001E-3</v>
      </c>
      <c r="AC34">
        <v>0</v>
      </c>
      <c r="AD34">
        <v>0</v>
      </c>
      <c r="AE34">
        <v>0</v>
      </c>
      <c r="AF34">
        <v>0</v>
      </c>
      <c r="AG34">
        <v>5.6299999999999996E-3</v>
      </c>
      <c r="AH34">
        <v>0</v>
      </c>
      <c r="AI34">
        <v>-7.7999999999999999E-4</v>
      </c>
    </row>
    <row r="35" spans="1:35" x14ac:dyDescent="0.25">
      <c r="A35" s="1">
        <v>40116</v>
      </c>
      <c r="B35" s="8">
        <v>1.6000000000000001E-3</v>
      </c>
      <c r="C35">
        <v>-1.38E-2</v>
      </c>
      <c r="D35">
        <v>-1.9762000860415463E-2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3.6600000000000001E-3</v>
      </c>
      <c r="L35">
        <v>0</v>
      </c>
      <c r="M35">
        <v>-1.1900000000000001E-3</v>
      </c>
      <c r="N35">
        <v>0</v>
      </c>
      <c r="O35">
        <v>0</v>
      </c>
      <c r="P35">
        <v>-3.0200000000000001E-3</v>
      </c>
      <c r="Q35">
        <v>0</v>
      </c>
      <c r="R35">
        <v>-7.2999999999999996E-4</v>
      </c>
      <c r="S35">
        <v>0</v>
      </c>
      <c r="T35">
        <v>-3.1E-4</v>
      </c>
      <c r="U35">
        <v>0</v>
      </c>
      <c r="V35">
        <v>0</v>
      </c>
      <c r="W35">
        <v>0</v>
      </c>
      <c r="X35">
        <v>0</v>
      </c>
      <c r="Y35">
        <v>0</v>
      </c>
      <c r="Z35">
        <v>2.8999999999999998E-3</v>
      </c>
      <c r="AA35">
        <v>8.9999999999999998E-4</v>
      </c>
      <c r="AB35">
        <v>-1.2999999999999999E-4</v>
      </c>
      <c r="AC35">
        <v>0</v>
      </c>
      <c r="AD35">
        <v>0</v>
      </c>
      <c r="AE35">
        <v>0</v>
      </c>
      <c r="AF35">
        <v>0</v>
      </c>
      <c r="AG35">
        <v>-4.9399999999999999E-3</v>
      </c>
      <c r="AH35">
        <v>0</v>
      </c>
      <c r="AI35">
        <v>4.4600000000000004E-3</v>
      </c>
    </row>
    <row r="36" spans="1:35" x14ac:dyDescent="0.25">
      <c r="A36" s="1">
        <v>40147</v>
      </c>
      <c r="B36" s="8">
        <v>6.7599999999999993E-2</v>
      </c>
      <c r="C36">
        <v>7.4200000000000002E-2</v>
      </c>
      <c r="D36">
        <v>5.736406198137356E-2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7.0699999999999999E-3</v>
      </c>
      <c r="L36">
        <v>0</v>
      </c>
      <c r="M36">
        <v>8.0000000000000002E-3</v>
      </c>
      <c r="N36">
        <v>0</v>
      </c>
      <c r="O36">
        <v>0</v>
      </c>
      <c r="P36">
        <v>7.2500000000000004E-3</v>
      </c>
      <c r="Q36">
        <v>0</v>
      </c>
      <c r="R36">
        <v>8.0700000000000008E-3</v>
      </c>
      <c r="S36">
        <v>0</v>
      </c>
      <c r="T36">
        <v>5.9500000000000004E-3</v>
      </c>
      <c r="U36">
        <v>0</v>
      </c>
      <c r="V36">
        <v>0</v>
      </c>
      <c r="W36">
        <v>0</v>
      </c>
      <c r="X36">
        <v>0</v>
      </c>
      <c r="Y36">
        <v>0</v>
      </c>
      <c r="Z36">
        <v>7.6299999999999996E-3</v>
      </c>
      <c r="AA36">
        <v>7.4999999999999997E-3</v>
      </c>
      <c r="AB36">
        <v>2.8900000000000002E-3</v>
      </c>
      <c r="AC36">
        <v>0</v>
      </c>
      <c r="AD36">
        <v>0</v>
      </c>
      <c r="AE36">
        <v>0</v>
      </c>
      <c r="AF36">
        <v>0</v>
      </c>
      <c r="AG36">
        <v>7.9000000000000008E-3</v>
      </c>
      <c r="AH36">
        <v>0</v>
      </c>
      <c r="AI36">
        <v>5.3299999999999997E-3</v>
      </c>
    </row>
    <row r="37" spans="1:35" x14ac:dyDescent="0.25">
      <c r="A37" s="1">
        <v>40178</v>
      </c>
      <c r="B37" s="8">
        <v>5.3E-3</v>
      </c>
      <c r="C37">
        <v>3.1300000000000001E-2</v>
      </c>
      <c r="D37">
        <v>1.7770571188400419E-2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-2.4199999999999998E-3</v>
      </c>
      <c r="L37">
        <v>0</v>
      </c>
      <c r="M37">
        <v>6.9800000000000001E-3</v>
      </c>
      <c r="N37">
        <v>0</v>
      </c>
      <c r="O37">
        <v>0</v>
      </c>
      <c r="P37">
        <v>2.5000000000000001E-3</v>
      </c>
      <c r="Q37">
        <v>0</v>
      </c>
      <c r="R37">
        <v>-3.5E-4</v>
      </c>
      <c r="S37">
        <v>0</v>
      </c>
      <c r="T37">
        <v>6.7499999999999999E-3</v>
      </c>
      <c r="U37">
        <v>0</v>
      </c>
      <c r="V37">
        <v>0</v>
      </c>
      <c r="W37">
        <v>0</v>
      </c>
      <c r="X37">
        <v>0</v>
      </c>
      <c r="Y37">
        <v>0</v>
      </c>
      <c r="Z37">
        <v>1.1E-4</v>
      </c>
      <c r="AA37">
        <v>-2.7599999999999999E-3</v>
      </c>
      <c r="AB37">
        <v>3.8300000000000001E-3</v>
      </c>
      <c r="AC37">
        <v>0</v>
      </c>
      <c r="AD37">
        <v>0</v>
      </c>
      <c r="AE37">
        <v>0</v>
      </c>
      <c r="AF37">
        <v>0</v>
      </c>
      <c r="AG37">
        <v>-1.7000000000000001E-4</v>
      </c>
      <c r="AH37">
        <v>0</v>
      </c>
      <c r="AI37">
        <v>-9.1599999999999997E-3</v>
      </c>
    </row>
    <row r="38" spans="1:35" x14ac:dyDescent="0.25">
      <c r="A38" s="1">
        <v>40207</v>
      </c>
      <c r="B38" s="8">
        <v>-4.4900000000000002E-2</v>
      </c>
      <c r="C38">
        <v>-3.8399999999999997E-2</v>
      </c>
      <c r="D38">
        <v>-3.6974246154947377E-2</v>
      </c>
      <c r="E38">
        <v>-5.4000000000000003E-3</v>
      </c>
      <c r="F38">
        <v>-2.5100000000000001E-3</v>
      </c>
      <c r="G38">
        <v>9.0500000000000008E-3</v>
      </c>
      <c r="H38">
        <v>3.8000000000000002E-4</v>
      </c>
      <c r="I38">
        <v>-5.1399999999999996E-3</v>
      </c>
      <c r="J38">
        <v>-6.4099999999999999E-3</v>
      </c>
      <c r="K38">
        <v>0</v>
      </c>
      <c r="L38">
        <v>-3.7000000000000002E-3</v>
      </c>
      <c r="M38">
        <v>0</v>
      </c>
      <c r="N38">
        <v>-6.11E-3</v>
      </c>
      <c r="O38">
        <v>4.64E-3</v>
      </c>
      <c r="P38">
        <v>0</v>
      </c>
      <c r="Q38">
        <v>-1.2899999999999999E-3</v>
      </c>
      <c r="R38">
        <v>0</v>
      </c>
      <c r="S38">
        <v>0</v>
      </c>
      <c r="T38" s="2">
        <v>-1.0000000000000001E-5</v>
      </c>
      <c r="U38">
        <v>-3.0200000000000001E-3</v>
      </c>
      <c r="V38">
        <v>0</v>
      </c>
      <c r="W38">
        <v>5.9000000000000003E-4</v>
      </c>
      <c r="X38">
        <v>-7.2199999999999999E-3</v>
      </c>
      <c r="Y38">
        <v>-2.2399999999999998E-3</v>
      </c>
      <c r="Z38">
        <v>2.2000000000000001E-4</v>
      </c>
      <c r="AA38">
        <v>0</v>
      </c>
      <c r="AB38">
        <v>0</v>
      </c>
      <c r="AC38">
        <v>-7.3299999999999997E-3</v>
      </c>
      <c r="AD38">
        <v>-2.14E-3</v>
      </c>
      <c r="AE38">
        <v>-2.2300000000000002E-3</v>
      </c>
      <c r="AF38">
        <v>2.5000000000000001E-3</v>
      </c>
      <c r="AG38">
        <v>0</v>
      </c>
      <c r="AH38">
        <v>-7.5799999999999999E-3</v>
      </c>
      <c r="AI38">
        <v>0</v>
      </c>
    </row>
    <row r="39" spans="1:35" x14ac:dyDescent="0.25">
      <c r="A39" s="1">
        <v>40235</v>
      </c>
      <c r="B39" s="8">
        <v>4.0300000000000002E-2</v>
      </c>
      <c r="C39">
        <v>2.5899999999999999E-2</v>
      </c>
      <c r="D39">
        <v>2.8513688940531301E-2</v>
      </c>
      <c r="E39">
        <v>3.98E-3</v>
      </c>
      <c r="F39">
        <v>-2.0699999999999998E-3</v>
      </c>
      <c r="G39">
        <v>3.7200000000000002E-3</v>
      </c>
      <c r="H39">
        <v>4.5900000000000003E-3</v>
      </c>
      <c r="I39">
        <v>1.5100000000000001E-3</v>
      </c>
      <c r="J39">
        <v>7.77E-3</v>
      </c>
      <c r="K39">
        <v>0</v>
      </c>
      <c r="L39">
        <v>6.4000000000000005E-4</v>
      </c>
      <c r="M39">
        <v>0</v>
      </c>
      <c r="N39">
        <v>4.1700000000000001E-3</v>
      </c>
      <c r="O39">
        <v>3.6999999999999999E-4</v>
      </c>
      <c r="P39">
        <v>0</v>
      </c>
      <c r="Q39">
        <v>1.56E-3</v>
      </c>
      <c r="R39">
        <v>0</v>
      </c>
      <c r="S39">
        <v>2.3000000000000001E-4</v>
      </c>
      <c r="T39">
        <v>0</v>
      </c>
      <c r="U39">
        <v>8.8000000000000003E-4</v>
      </c>
      <c r="V39">
        <v>0</v>
      </c>
      <c r="W39">
        <v>3.98E-3</v>
      </c>
      <c r="X39">
        <v>2.16E-3</v>
      </c>
      <c r="Y39">
        <v>1.17E-3</v>
      </c>
      <c r="Z39">
        <v>-4.2999999999999999E-4</v>
      </c>
      <c r="AA39">
        <v>0</v>
      </c>
      <c r="AB39">
        <v>0</v>
      </c>
      <c r="AC39">
        <v>7.1799999999999998E-3</v>
      </c>
      <c r="AD39">
        <v>-5.8E-4</v>
      </c>
      <c r="AE39">
        <v>-8.0000000000000004E-4</v>
      </c>
      <c r="AF39">
        <v>7.9000000000000001E-4</v>
      </c>
      <c r="AG39" s="2">
        <v>2.0000000000000002E-5</v>
      </c>
      <c r="AH39">
        <v>-5.5999999999999995E-4</v>
      </c>
      <c r="AI39">
        <v>0</v>
      </c>
    </row>
    <row r="40" spans="1:35" x14ac:dyDescent="0.25">
      <c r="A40" s="1">
        <v>40268</v>
      </c>
      <c r="B40" s="8">
        <v>8.3699999999999997E-2</v>
      </c>
      <c r="C40">
        <v>6.4399999999999999E-2</v>
      </c>
      <c r="D40">
        <v>5.8796426031891835E-2</v>
      </c>
      <c r="E40">
        <v>9.0399999999999994E-3</v>
      </c>
      <c r="F40">
        <v>5.4299999999999999E-3</v>
      </c>
      <c r="G40">
        <v>1.133E-2</v>
      </c>
      <c r="H40">
        <v>3.3899999999999998E-3</v>
      </c>
      <c r="I40" s="2">
        <v>-1.0000000000000001E-5</v>
      </c>
      <c r="J40">
        <v>8.5800000000000008E-3</v>
      </c>
      <c r="K40">
        <v>0</v>
      </c>
      <c r="L40">
        <v>4.0699999999999998E-3</v>
      </c>
      <c r="M40">
        <v>0</v>
      </c>
      <c r="N40">
        <v>8.5800000000000008E-3</v>
      </c>
      <c r="O40">
        <v>9.8499999999999994E-3</v>
      </c>
      <c r="P40">
        <v>0</v>
      </c>
      <c r="Q40">
        <v>1.32E-3</v>
      </c>
      <c r="R40">
        <v>0</v>
      </c>
      <c r="S40">
        <v>3.2000000000000003E-4</v>
      </c>
      <c r="T40" s="2">
        <v>1.0000000000000001E-5</v>
      </c>
      <c r="U40">
        <v>8.5999999999999998E-4</v>
      </c>
      <c r="V40">
        <v>0</v>
      </c>
      <c r="W40">
        <v>3.1199999999999999E-3</v>
      </c>
      <c r="X40">
        <v>3.0400000000000002E-3</v>
      </c>
      <c r="Y40">
        <v>3.81E-3</v>
      </c>
      <c r="Z40">
        <v>-2.0000000000000001E-4</v>
      </c>
      <c r="AA40">
        <v>0</v>
      </c>
      <c r="AB40">
        <v>0</v>
      </c>
      <c r="AC40">
        <v>5.3699999999999998E-3</v>
      </c>
      <c r="AD40">
        <v>1.1000000000000001E-3</v>
      </c>
      <c r="AE40">
        <v>1.5100000000000001E-3</v>
      </c>
      <c r="AF40">
        <v>-1.06E-3</v>
      </c>
      <c r="AG40" s="2">
        <v>6.9999999999999994E-5</v>
      </c>
      <c r="AH40">
        <v>4.1599999999999996E-3</v>
      </c>
      <c r="AI40">
        <v>0</v>
      </c>
    </row>
    <row r="41" spans="1:35" x14ac:dyDescent="0.25">
      <c r="A41" s="1">
        <v>40298</v>
      </c>
      <c r="B41" s="8">
        <v>3.56E-2</v>
      </c>
      <c r="C41">
        <v>2.4E-2</v>
      </c>
      <c r="D41">
        <v>1.4759229883791081E-2</v>
      </c>
      <c r="E41">
        <v>6.7600000000000004E-3</v>
      </c>
      <c r="F41">
        <v>3.6000000000000002E-4</v>
      </c>
      <c r="G41">
        <v>-1.9000000000000001E-4</v>
      </c>
      <c r="H41" s="2">
        <v>-5.0000000000000002E-5</v>
      </c>
      <c r="I41">
        <v>-1.0059999999999999E-2</v>
      </c>
      <c r="J41">
        <v>7.6E-3</v>
      </c>
      <c r="K41">
        <v>0</v>
      </c>
      <c r="L41">
        <v>9.6500000000000006E-3</v>
      </c>
      <c r="M41">
        <v>0</v>
      </c>
      <c r="N41">
        <v>4.0400000000000002E-3</v>
      </c>
      <c r="O41">
        <v>2.6800000000000001E-3</v>
      </c>
      <c r="P41">
        <v>0</v>
      </c>
      <c r="Q41">
        <v>-9.5E-4</v>
      </c>
      <c r="R41">
        <v>0</v>
      </c>
      <c r="S41">
        <v>4.2000000000000002E-4</v>
      </c>
      <c r="T41" s="2">
        <v>2.0000000000000002E-5</v>
      </c>
      <c r="U41">
        <v>1.6999999999999999E-3</v>
      </c>
      <c r="V41">
        <v>0</v>
      </c>
      <c r="W41">
        <v>1.5299999999999999E-3</v>
      </c>
      <c r="X41">
        <v>-3.98E-3</v>
      </c>
      <c r="Y41">
        <v>2.9499999999999999E-3</v>
      </c>
      <c r="Z41">
        <v>-2.2000000000000001E-4</v>
      </c>
      <c r="AA41">
        <v>0</v>
      </c>
      <c r="AB41">
        <v>0</v>
      </c>
      <c r="AC41">
        <v>4.5799999999999999E-3</v>
      </c>
      <c r="AD41">
        <v>6.6E-4</v>
      </c>
      <c r="AE41">
        <v>1.9000000000000001E-4</v>
      </c>
      <c r="AF41">
        <v>-2.15E-3</v>
      </c>
      <c r="AG41" s="2">
        <v>5.0000000000000002E-5</v>
      </c>
      <c r="AH41">
        <v>1.001E-2</v>
      </c>
      <c r="AI41">
        <v>0</v>
      </c>
    </row>
    <row r="42" spans="1:35" x14ac:dyDescent="0.25">
      <c r="A42" s="1">
        <v>40326</v>
      </c>
      <c r="B42" s="8">
        <v>-9.2999999999999999E-2</v>
      </c>
      <c r="C42">
        <v>-8.1799999999999998E-2</v>
      </c>
      <c r="D42">
        <v>-8.1975841910334468E-2</v>
      </c>
      <c r="E42">
        <v>-9.7999999999999997E-4</v>
      </c>
      <c r="F42">
        <v>-3.14E-3</v>
      </c>
      <c r="G42">
        <v>-8.1799999999999998E-3</v>
      </c>
      <c r="H42">
        <v>-5.5199999999999997E-3</v>
      </c>
      <c r="I42">
        <v>-5.6899999999999997E-3</v>
      </c>
      <c r="J42">
        <v>-9.0900000000000009E-3</v>
      </c>
      <c r="K42">
        <v>0</v>
      </c>
      <c r="L42">
        <v>-7.0600000000000003E-3</v>
      </c>
      <c r="M42">
        <v>0</v>
      </c>
      <c r="N42">
        <v>-6.7799999999999996E-3</v>
      </c>
      <c r="O42">
        <v>-9.8399999999999998E-3</v>
      </c>
      <c r="P42">
        <v>0</v>
      </c>
      <c r="Q42">
        <v>-1.41E-3</v>
      </c>
      <c r="R42">
        <v>0</v>
      </c>
      <c r="S42">
        <v>-3.2000000000000003E-4</v>
      </c>
      <c r="T42" s="2">
        <v>-3.0000000000000001E-5</v>
      </c>
      <c r="U42">
        <v>-6.0299999999999998E-3</v>
      </c>
      <c r="V42">
        <v>0</v>
      </c>
      <c r="W42">
        <v>-4.4900000000000001E-3</v>
      </c>
      <c r="X42">
        <v>-6.7099999999999998E-3</v>
      </c>
      <c r="Y42">
        <v>-4.1999999999999997E-3</v>
      </c>
      <c r="Z42">
        <v>-6.7000000000000002E-4</v>
      </c>
      <c r="AA42">
        <v>0</v>
      </c>
      <c r="AB42">
        <v>0</v>
      </c>
      <c r="AC42">
        <v>-2.8600000000000001E-3</v>
      </c>
      <c r="AD42">
        <v>-1.8E-3</v>
      </c>
      <c r="AE42">
        <v>-1.58E-3</v>
      </c>
      <c r="AF42">
        <v>-1.24E-3</v>
      </c>
      <c r="AG42" s="2">
        <v>-6.0000000000000002E-5</v>
      </c>
      <c r="AH42">
        <v>-5.3899999999999998E-3</v>
      </c>
      <c r="AI42">
        <v>0</v>
      </c>
    </row>
    <row r="43" spans="1:35" x14ac:dyDescent="0.25">
      <c r="A43" s="1">
        <v>40359</v>
      </c>
      <c r="B43" s="8">
        <v>-7.1999999999999995E-2</v>
      </c>
      <c r="C43">
        <v>-5.4800000000000001E-2</v>
      </c>
      <c r="D43">
        <v>-5.3882442026415123E-2</v>
      </c>
      <c r="E43">
        <v>-1.2700000000000001E-3</v>
      </c>
      <c r="F43">
        <v>-4.7800000000000004E-3</v>
      </c>
      <c r="G43">
        <v>-1.6900000000000001E-3</v>
      </c>
      <c r="H43">
        <v>-4.0699999999999998E-3</v>
      </c>
      <c r="I43">
        <v>-9.0799999999999995E-3</v>
      </c>
      <c r="J43">
        <v>-9.6000000000000002E-4</v>
      </c>
      <c r="K43">
        <v>0</v>
      </c>
      <c r="L43">
        <v>-3.29E-3</v>
      </c>
      <c r="M43">
        <v>0</v>
      </c>
      <c r="N43">
        <v>-4.1900000000000001E-3</v>
      </c>
      <c r="O43">
        <v>-8.2699999999999996E-3</v>
      </c>
      <c r="P43">
        <v>0</v>
      </c>
      <c r="Q43">
        <v>-1.5E-3</v>
      </c>
      <c r="R43">
        <v>0</v>
      </c>
      <c r="S43">
        <v>-1.1E-4</v>
      </c>
      <c r="T43">
        <v>0</v>
      </c>
      <c r="U43">
        <v>-4.3299999999999996E-3</v>
      </c>
      <c r="V43">
        <v>0</v>
      </c>
      <c r="W43">
        <v>-4.4299999999999999E-3</v>
      </c>
      <c r="X43">
        <v>-9.1400000000000006E-3</v>
      </c>
      <c r="Y43">
        <v>-3.6600000000000001E-3</v>
      </c>
      <c r="Z43">
        <v>-5.5000000000000003E-4</v>
      </c>
      <c r="AA43">
        <v>0</v>
      </c>
      <c r="AB43">
        <v>0</v>
      </c>
      <c r="AC43">
        <v>-3.7799999999999999E-3</v>
      </c>
      <c r="AD43">
        <v>-1.2E-4</v>
      </c>
      <c r="AE43" s="2">
        <v>2.0000000000000002E-5</v>
      </c>
      <c r="AF43">
        <v>-5.6999999999999998E-4</v>
      </c>
      <c r="AG43" s="2">
        <v>-6.9999999999999994E-5</v>
      </c>
      <c r="AH43">
        <v>-6.1999999999999998E-3</v>
      </c>
      <c r="AI43">
        <v>0</v>
      </c>
    </row>
    <row r="44" spans="1:35" x14ac:dyDescent="0.25">
      <c r="A44" s="1">
        <v>40389</v>
      </c>
      <c r="B44" s="8">
        <v>7.5899999999999995E-2</v>
      </c>
      <c r="C44">
        <v>6.7699999999999996E-2</v>
      </c>
      <c r="D44">
        <v>6.8777849911552336E-2</v>
      </c>
      <c r="E44">
        <v>1.3799999999999999E-3</v>
      </c>
      <c r="F44">
        <v>2.9199999999999999E-3</v>
      </c>
      <c r="G44">
        <v>6.4999999999999997E-3</v>
      </c>
      <c r="H44">
        <v>-1.08E-3</v>
      </c>
      <c r="I44">
        <v>6.3800000000000003E-3</v>
      </c>
      <c r="J44">
        <v>1.422E-2</v>
      </c>
      <c r="K44">
        <v>0</v>
      </c>
      <c r="L44">
        <v>8.3800000000000003E-3</v>
      </c>
      <c r="M44">
        <v>0</v>
      </c>
      <c r="N44">
        <v>5.0800000000000003E-3</v>
      </c>
      <c r="O44">
        <v>8.7100000000000007E-3</v>
      </c>
      <c r="P44">
        <v>0</v>
      </c>
      <c r="Q44">
        <v>2.0300000000000001E-3</v>
      </c>
      <c r="R44">
        <v>0</v>
      </c>
      <c r="S44">
        <v>4.2000000000000002E-4</v>
      </c>
      <c r="T44" s="2">
        <v>2.0000000000000002E-5</v>
      </c>
      <c r="U44">
        <v>4.8700000000000002E-3</v>
      </c>
      <c r="V44">
        <v>0</v>
      </c>
      <c r="W44">
        <v>3.4199999999999999E-3</v>
      </c>
      <c r="X44">
        <v>-4.1000000000000003E-3</v>
      </c>
      <c r="Y44">
        <v>6.0999999999999997E-4</v>
      </c>
      <c r="Z44">
        <v>4.4999999999999999E-4</v>
      </c>
      <c r="AA44">
        <v>0</v>
      </c>
      <c r="AB44">
        <v>0</v>
      </c>
      <c r="AC44">
        <v>7.8700000000000003E-3</v>
      </c>
      <c r="AD44">
        <v>2.3900000000000002E-3</v>
      </c>
      <c r="AE44">
        <v>1.64E-3</v>
      </c>
      <c r="AF44">
        <v>2.1800000000000001E-3</v>
      </c>
      <c r="AG44">
        <v>1E-4</v>
      </c>
      <c r="AH44">
        <v>1.5200000000000001E-3</v>
      </c>
      <c r="AI44">
        <v>0</v>
      </c>
    </row>
    <row r="45" spans="1:35" x14ac:dyDescent="0.25">
      <c r="A45" s="1">
        <v>40421</v>
      </c>
      <c r="B45" s="8">
        <v>-5.5100000000000003E-2</v>
      </c>
      <c r="C45">
        <v>-3.3000000000000002E-2</v>
      </c>
      <c r="D45">
        <v>-4.7449184040287196E-2</v>
      </c>
      <c r="E45">
        <v>-3.3500000000000001E-3</v>
      </c>
      <c r="F45">
        <v>2.1800000000000001E-3</v>
      </c>
      <c r="G45">
        <v>-7.3200000000000001E-3</v>
      </c>
      <c r="H45">
        <v>-5.3E-3</v>
      </c>
      <c r="I45">
        <v>-5.9899999999999997E-3</v>
      </c>
      <c r="J45">
        <v>-5.5500000000000002E-3</v>
      </c>
      <c r="K45">
        <v>0</v>
      </c>
      <c r="L45">
        <v>-3.1099999999999999E-3</v>
      </c>
      <c r="M45">
        <v>0</v>
      </c>
      <c r="N45">
        <v>-2.49E-3</v>
      </c>
      <c r="O45">
        <v>-7.5199999999999998E-3</v>
      </c>
      <c r="P45">
        <v>0</v>
      </c>
      <c r="Q45">
        <v>-1.9499999999999999E-3</v>
      </c>
      <c r="R45">
        <v>0</v>
      </c>
      <c r="S45">
        <v>4.0000000000000002E-4</v>
      </c>
      <c r="T45" s="2">
        <v>-2.0000000000000002E-5</v>
      </c>
      <c r="U45">
        <v>-3.4299999999999999E-3</v>
      </c>
      <c r="V45">
        <v>0</v>
      </c>
      <c r="W45">
        <v>-3.0599999999999998E-3</v>
      </c>
      <c r="X45">
        <v>5.9999999999999995E-4</v>
      </c>
      <c r="Y45">
        <v>-3.7699999999999999E-3</v>
      </c>
      <c r="Z45">
        <v>6.2E-4</v>
      </c>
      <c r="AA45">
        <v>0</v>
      </c>
      <c r="AB45">
        <v>0</v>
      </c>
      <c r="AC45">
        <v>1.5399999999999999E-3</v>
      </c>
      <c r="AD45">
        <v>1.1199999999999999E-3</v>
      </c>
      <c r="AE45">
        <v>-1.3799999999999999E-3</v>
      </c>
      <c r="AF45">
        <v>1.2600000000000001E-3</v>
      </c>
      <c r="AG45" s="2">
        <v>-1.0000000000000001E-5</v>
      </c>
      <c r="AH45">
        <v>-8.5699999999999995E-3</v>
      </c>
      <c r="AI45">
        <v>0</v>
      </c>
    </row>
    <row r="46" spans="1:35" x14ac:dyDescent="0.25">
      <c r="A46" s="1">
        <v>40451</v>
      </c>
      <c r="B46" s="8">
        <v>0.1086</v>
      </c>
      <c r="C46">
        <v>8.7099999999999997E-2</v>
      </c>
      <c r="D46">
        <v>8.7551102944020132E-2</v>
      </c>
      <c r="E46">
        <v>1.018E-2</v>
      </c>
      <c r="F46">
        <v>9.5499999999999995E-3</v>
      </c>
      <c r="G46">
        <v>6.7000000000000002E-3</v>
      </c>
      <c r="H46">
        <v>2.47E-3</v>
      </c>
      <c r="I46">
        <v>1.294E-2</v>
      </c>
      <c r="J46">
        <v>1.7510000000000001E-2</v>
      </c>
      <c r="K46">
        <v>0</v>
      </c>
      <c r="L46">
        <v>5.8700000000000002E-3</v>
      </c>
      <c r="M46">
        <v>0</v>
      </c>
      <c r="N46">
        <v>1.2600000000000001E-3</v>
      </c>
      <c r="O46">
        <v>9.6500000000000006E-3</v>
      </c>
      <c r="P46">
        <v>0</v>
      </c>
      <c r="Q46">
        <v>9.3999999999999997E-4</v>
      </c>
      <c r="R46">
        <v>0</v>
      </c>
      <c r="S46">
        <v>1.3999999999999999E-4</v>
      </c>
      <c r="T46" s="2">
        <v>3.0000000000000001E-5</v>
      </c>
      <c r="U46">
        <v>1.75E-3</v>
      </c>
      <c r="V46">
        <v>0</v>
      </c>
      <c r="W46">
        <v>5.3299999999999997E-3</v>
      </c>
      <c r="X46">
        <v>1.0359999999999999E-2</v>
      </c>
      <c r="Y46">
        <v>4.64E-3</v>
      </c>
      <c r="Z46">
        <v>6.8000000000000005E-4</v>
      </c>
      <c r="AA46">
        <v>0</v>
      </c>
      <c r="AB46">
        <v>0</v>
      </c>
      <c r="AC46">
        <v>1.9E-3</v>
      </c>
      <c r="AD46">
        <v>1.5499999999999999E-3</v>
      </c>
      <c r="AE46">
        <v>1.57E-3</v>
      </c>
      <c r="AF46">
        <v>3.3500000000000001E-3</v>
      </c>
      <c r="AG46" s="2">
        <v>3.0000000000000001E-5</v>
      </c>
      <c r="AH46">
        <v>2.1000000000000001E-4</v>
      </c>
      <c r="AI46">
        <v>0</v>
      </c>
    </row>
    <row r="47" spans="1:35" x14ac:dyDescent="0.25">
      <c r="A47" s="1">
        <v>40480</v>
      </c>
      <c r="B47" s="8">
        <v>2.52E-2</v>
      </c>
      <c r="C47">
        <v>2.52E-2</v>
      </c>
      <c r="D47">
        <v>3.6855994397076541E-2</v>
      </c>
      <c r="E47">
        <v>3.7000000000000002E-3</v>
      </c>
      <c r="F47">
        <v>1.92E-3</v>
      </c>
      <c r="G47">
        <v>4.6600000000000001E-3</v>
      </c>
      <c r="H47">
        <v>-5.94E-3</v>
      </c>
      <c r="I47">
        <v>2.7999999999999998E-4</v>
      </c>
      <c r="J47">
        <v>3.8999999999999999E-4</v>
      </c>
      <c r="K47">
        <v>0</v>
      </c>
      <c r="L47">
        <v>2.6900000000000001E-3</v>
      </c>
      <c r="M47">
        <v>0</v>
      </c>
      <c r="N47">
        <v>6.6699999999999997E-3</v>
      </c>
      <c r="O47">
        <v>-1.0499999999999999E-3</v>
      </c>
      <c r="P47">
        <v>0</v>
      </c>
      <c r="Q47">
        <v>-2.0000000000000001E-4</v>
      </c>
      <c r="R47">
        <v>0</v>
      </c>
      <c r="S47">
        <v>3.2000000000000003E-4</v>
      </c>
      <c r="T47" s="2">
        <v>-1.0000000000000001E-5</v>
      </c>
      <c r="U47">
        <v>3.5500000000000002E-3</v>
      </c>
      <c r="V47">
        <v>0</v>
      </c>
      <c r="W47">
        <v>1.89E-3</v>
      </c>
      <c r="X47">
        <v>1.1900000000000001E-3</v>
      </c>
      <c r="Y47">
        <v>2.5999999999999998E-4</v>
      </c>
      <c r="Z47">
        <v>1.2E-4</v>
      </c>
      <c r="AA47">
        <v>0</v>
      </c>
      <c r="AB47">
        <v>0</v>
      </c>
      <c r="AC47">
        <v>2.65E-3</v>
      </c>
      <c r="AD47">
        <v>3.2000000000000003E-4</v>
      </c>
      <c r="AE47">
        <v>1.5100000000000001E-3</v>
      </c>
      <c r="AF47">
        <v>8.0999999999999996E-4</v>
      </c>
      <c r="AG47" s="2">
        <v>1.0000000000000001E-5</v>
      </c>
      <c r="AH47">
        <v>-5.1999999999999995E-4</v>
      </c>
      <c r="AI47">
        <v>0</v>
      </c>
    </row>
    <row r="48" spans="1:35" x14ac:dyDescent="0.25">
      <c r="A48" s="1">
        <v>40512</v>
      </c>
      <c r="B48" s="8">
        <v>1.6199999999999999E-2</v>
      </c>
      <c r="C48">
        <v>1.12E-2</v>
      </c>
      <c r="D48">
        <v>-2.2902497989432113E-3</v>
      </c>
      <c r="E48">
        <v>2.0600000000000002E-3</v>
      </c>
      <c r="F48">
        <v>2.2799999999999999E-3</v>
      </c>
      <c r="G48">
        <v>-6.9100000000000003E-3</v>
      </c>
      <c r="H48">
        <v>-2.0500000000000002E-3</v>
      </c>
      <c r="I48">
        <v>-3.0300000000000001E-3</v>
      </c>
      <c r="J48">
        <v>6.4400000000000004E-3</v>
      </c>
      <c r="K48">
        <v>0</v>
      </c>
      <c r="L48">
        <v>8.0999999999999996E-4</v>
      </c>
      <c r="M48">
        <v>0</v>
      </c>
      <c r="N48">
        <v>7.7999999999999999E-4</v>
      </c>
      <c r="O48">
        <v>-8.8000000000000003E-4</v>
      </c>
      <c r="P48">
        <v>0</v>
      </c>
      <c r="Q48">
        <v>-1.2E-4</v>
      </c>
      <c r="R48">
        <v>0</v>
      </c>
      <c r="S48">
        <v>1.1E-4</v>
      </c>
      <c r="T48">
        <v>0</v>
      </c>
      <c r="U48">
        <v>-1.8699999999999999E-3</v>
      </c>
      <c r="V48">
        <v>0</v>
      </c>
      <c r="W48">
        <v>-7.5000000000000002E-4</v>
      </c>
      <c r="X48">
        <v>5.4200000000000003E-3</v>
      </c>
      <c r="Y48">
        <v>7.3499999999999998E-3</v>
      </c>
      <c r="Z48">
        <v>-4.6000000000000001E-4</v>
      </c>
      <c r="AA48">
        <v>0</v>
      </c>
      <c r="AB48">
        <v>0</v>
      </c>
      <c r="AC48">
        <v>2.5600000000000002E-3</v>
      </c>
      <c r="AD48">
        <v>-6.8000000000000005E-4</v>
      </c>
      <c r="AE48">
        <v>-2.9E-4</v>
      </c>
      <c r="AF48">
        <v>3.8999999999999999E-4</v>
      </c>
      <c r="AG48" s="2">
        <v>3.0000000000000001E-5</v>
      </c>
      <c r="AH48">
        <v>4.9800000000000001E-3</v>
      </c>
      <c r="AI48">
        <v>0</v>
      </c>
    </row>
    <row r="49" spans="1:35" x14ac:dyDescent="0.25">
      <c r="A49" s="1">
        <v>40543</v>
      </c>
      <c r="B49" s="8">
        <v>9.1200000000000003E-2</v>
      </c>
      <c r="C49">
        <v>6.93E-2</v>
      </c>
      <c r="D49">
        <v>6.5300040489854716E-2</v>
      </c>
      <c r="E49">
        <v>2.2300000000000002E-3</v>
      </c>
      <c r="F49">
        <v>9.7000000000000005E-4</v>
      </c>
      <c r="G49">
        <v>1.7700000000000001E-3</v>
      </c>
      <c r="H49">
        <v>1.0319999999999999E-2</v>
      </c>
      <c r="I49">
        <v>1.1379999999999999E-2</v>
      </c>
      <c r="J49">
        <v>9.0399999999999994E-3</v>
      </c>
      <c r="K49">
        <v>0</v>
      </c>
      <c r="L49">
        <v>8.1200000000000005E-3</v>
      </c>
      <c r="M49">
        <v>0</v>
      </c>
      <c r="N49">
        <v>2.8E-3</v>
      </c>
      <c r="O49">
        <v>1.214E-2</v>
      </c>
      <c r="P49">
        <v>0</v>
      </c>
      <c r="Q49">
        <v>2.6800000000000001E-3</v>
      </c>
      <c r="R49">
        <v>0</v>
      </c>
      <c r="S49">
        <v>-1.3999999999999999E-4</v>
      </c>
      <c r="T49" s="2">
        <v>1.0000000000000001E-5</v>
      </c>
      <c r="U49">
        <v>4.1999999999999997E-3</v>
      </c>
      <c r="V49">
        <v>0</v>
      </c>
      <c r="W49">
        <v>2.2300000000000002E-3</v>
      </c>
      <c r="X49">
        <v>5.4000000000000003E-3</v>
      </c>
      <c r="Y49">
        <v>7.0899999999999999E-3</v>
      </c>
      <c r="Z49">
        <v>6.4000000000000005E-4</v>
      </c>
      <c r="AA49">
        <v>0</v>
      </c>
      <c r="AB49">
        <v>0</v>
      </c>
      <c r="AC49">
        <v>7.5000000000000002E-4</v>
      </c>
      <c r="AD49">
        <v>1.5200000000000001E-3</v>
      </c>
      <c r="AE49">
        <v>3.31E-3</v>
      </c>
      <c r="AF49">
        <v>-2.4000000000000001E-4</v>
      </c>
      <c r="AG49" s="2">
        <v>2.0000000000000002E-5</v>
      </c>
      <c r="AH49">
        <v>4.9800000000000001E-3</v>
      </c>
      <c r="AI49">
        <v>0</v>
      </c>
    </row>
    <row r="50" spans="1:35" x14ac:dyDescent="0.25">
      <c r="A50" s="1">
        <v>40574</v>
      </c>
      <c r="B50" s="8">
        <v>5.0799999999999998E-2</v>
      </c>
      <c r="C50">
        <v>3.4700000000000002E-2</v>
      </c>
      <c r="D50">
        <v>2.2645573980086819E-2</v>
      </c>
      <c r="E50">
        <v>2.8500000000000001E-3</v>
      </c>
      <c r="F50">
        <v>-1.74E-3</v>
      </c>
      <c r="G50">
        <v>4.4200000000000003E-3</v>
      </c>
      <c r="H50">
        <v>9.6000000000000002E-4</v>
      </c>
      <c r="I50">
        <v>2.15E-3</v>
      </c>
      <c r="J50">
        <v>2.8800000000000002E-3</v>
      </c>
      <c r="K50">
        <v>0</v>
      </c>
      <c r="L50">
        <v>3.7699999999999999E-3</v>
      </c>
      <c r="M50">
        <v>1E-4</v>
      </c>
      <c r="N50">
        <v>2.7499999999999998E-3</v>
      </c>
      <c r="O50">
        <v>6.7999999999999996E-3</v>
      </c>
      <c r="P50">
        <v>-6.4000000000000005E-4</v>
      </c>
      <c r="Q50">
        <v>1.8600000000000001E-3</v>
      </c>
      <c r="R50">
        <v>-7.9000000000000001E-4</v>
      </c>
      <c r="S50">
        <v>0</v>
      </c>
      <c r="T50">
        <v>2.5999999999999998E-4</v>
      </c>
      <c r="U50">
        <v>-3.8999999999999999E-4</v>
      </c>
      <c r="V50">
        <v>-1E-4</v>
      </c>
      <c r="W50">
        <v>3.98E-3</v>
      </c>
      <c r="X50">
        <v>1.8700000000000001E-2</v>
      </c>
      <c r="Y50">
        <v>-6.4999999999999997E-4</v>
      </c>
      <c r="Z50">
        <v>2.9E-4</v>
      </c>
      <c r="AA50">
        <v>0</v>
      </c>
      <c r="AB50">
        <v>0</v>
      </c>
      <c r="AC50">
        <v>9.7000000000000005E-4</v>
      </c>
      <c r="AD50">
        <v>-1.1299999999999999E-3</v>
      </c>
      <c r="AE50">
        <v>1.57E-3</v>
      </c>
      <c r="AF50">
        <v>3.4099999999999998E-3</v>
      </c>
      <c r="AG50" s="2">
        <v>-6.9999999999999994E-5</v>
      </c>
      <c r="AH50">
        <v>-1.49E-3</v>
      </c>
      <c r="AI50" s="2">
        <v>2.0000000000000002E-5</v>
      </c>
    </row>
    <row r="51" spans="1:35" x14ac:dyDescent="0.25">
      <c r="A51" s="1">
        <v>40602</v>
      </c>
      <c r="B51" s="8">
        <v>4.1300000000000003E-2</v>
      </c>
      <c r="C51">
        <v>3.73E-2</v>
      </c>
      <c r="D51">
        <v>3.1956564052952219E-2</v>
      </c>
      <c r="E51">
        <v>2.2499999999999998E-3</v>
      </c>
      <c r="F51">
        <v>6.4999999999999997E-4</v>
      </c>
      <c r="G51">
        <v>2.8999999999999998E-3</v>
      </c>
      <c r="H51">
        <v>1.3500000000000001E-3</v>
      </c>
      <c r="I51">
        <v>1.66E-3</v>
      </c>
      <c r="J51">
        <v>4.3400000000000001E-3</v>
      </c>
      <c r="K51">
        <v>0</v>
      </c>
      <c r="L51">
        <v>7.5599999999999999E-3</v>
      </c>
      <c r="M51">
        <v>2.5000000000000001E-4</v>
      </c>
      <c r="N51">
        <v>9.5099999999999994E-3</v>
      </c>
      <c r="O51">
        <v>3.0699999999999998E-3</v>
      </c>
      <c r="P51">
        <v>6.9999999999999999E-4</v>
      </c>
      <c r="Q51">
        <v>1.1999999999999999E-3</v>
      </c>
      <c r="R51">
        <v>2.9999999999999997E-4</v>
      </c>
      <c r="S51">
        <v>0</v>
      </c>
      <c r="T51">
        <v>7.6999999999999996E-4</v>
      </c>
      <c r="U51">
        <v>-2.0699999999999998E-3</v>
      </c>
      <c r="V51">
        <v>2.2000000000000001E-4</v>
      </c>
      <c r="W51">
        <v>-1.7700000000000001E-3</v>
      </c>
      <c r="X51">
        <v>-1.7799999999999999E-3</v>
      </c>
      <c r="Y51">
        <v>2.4599999999999999E-3</v>
      </c>
      <c r="Z51">
        <v>4.8000000000000001E-4</v>
      </c>
      <c r="AA51">
        <v>0</v>
      </c>
      <c r="AB51">
        <v>0</v>
      </c>
      <c r="AC51">
        <v>4.5399999999999998E-3</v>
      </c>
      <c r="AD51">
        <v>7.2999999999999996E-4</v>
      </c>
      <c r="AE51">
        <v>-2.2200000000000002E-3</v>
      </c>
      <c r="AF51">
        <v>9.3000000000000005E-4</v>
      </c>
      <c r="AG51">
        <v>2.0000000000000001E-4</v>
      </c>
      <c r="AH51">
        <v>3.0500000000000002E-3</v>
      </c>
      <c r="AI51" s="2">
        <v>1.0000000000000001E-5</v>
      </c>
    </row>
    <row r="52" spans="1:35" x14ac:dyDescent="0.25">
      <c r="A52" s="1">
        <v>40633</v>
      </c>
      <c r="B52" s="8">
        <v>0</v>
      </c>
      <c r="C52">
        <v>-3.5999999999999999E-3</v>
      </c>
      <c r="D52">
        <v>-1.0473132038185673E-3</v>
      </c>
      <c r="E52">
        <v>-7.2999999999999996E-4</v>
      </c>
      <c r="F52">
        <v>1.1999999999999999E-3</v>
      </c>
      <c r="G52">
        <v>1.82E-3</v>
      </c>
      <c r="H52">
        <v>-2.1900000000000001E-3</v>
      </c>
      <c r="I52">
        <v>-4.2999999999999999E-4</v>
      </c>
      <c r="J52">
        <v>5.8199999999999997E-3</v>
      </c>
      <c r="K52">
        <v>0</v>
      </c>
      <c r="L52">
        <v>1.9499999999999999E-3</v>
      </c>
      <c r="M52" s="2">
        <v>-5.0000000000000002E-5</v>
      </c>
      <c r="N52">
        <v>-1.1299999999999999E-3</v>
      </c>
      <c r="O52">
        <v>-2.7899999999999999E-3</v>
      </c>
      <c r="P52">
        <v>-6.7000000000000002E-4</v>
      </c>
      <c r="Q52">
        <v>-3.8999999999999999E-4</v>
      </c>
      <c r="R52">
        <v>8.0000000000000004E-4</v>
      </c>
      <c r="S52">
        <v>0</v>
      </c>
      <c r="T52">
        <v>1.9000000000000001E-4</v>
      </c>
      <c r="U52">
        <v>-2.6099999999999999E-3</v>
      </c>
      <c r="V52">
        <v>-4.0999999999999999E-4</v>
      </c>
      <c r="W52">
        <v>2.5200000000000001E-3</v>
      </c>
      <c r="X52">
        <v>-6.2599999999999999E-3</v>
      </c>
      <c r="Y52">
        <v>1.32E-3</v>
      </c>
      <c r="Z52">
        <v>3.8999999999999999E-4</v>
      </c>
      <c r="AA52">
        <v>0</v>
      </c>
      <c r="AB52">
        <v>0</v>
      </c>
      <c r="AC52">
        <v>-1.2899999999999999E-3</v>
      </c>
      <c r="AD52">
        <v>1.83E-3</v>
      </c>
      <c r="AE52">
        <v>-3.3E-4</v>
      </c>
      <c r="AF52">
        <v>1.6100000000000001E-3</v>
      </c>
      <c r="AG52" s="2">
        <v>4.0000000000000003E-5</v>
      </c>
      <c r="AH52">
        <v>-2.0000000000000001E-4</v>
      </c>
      <c r="AI52">
        <v>0</v>
      </c>
    </row>
    <row r="53" spans="1:35" x14ac:dyDescent="0.25">
      <c r="A53" s="1">
        <v>40662</v>
      </c>
      <c r="B53" s="8">
        <v>3.0200000000000001E-2</v>
      </c>
      <c r="C53">
        <v>3.7699999999999997E-2</v>
      </c>
      <c r="D53">
        <v>2.8495380443795071E-2</v>
      </c>
      <c r="E53">
        <v>2.5999999999999998E-4</v>
      </c>
      <c r="F53">
        <v>2.64E-3</v>
      </c>
      <c r="G53">
        <v>5.4099999999999999E-3</v>
      </c>
      <c r="H53">
        <v>-2.5999999999999999E-3</v>
      </c>
      <c r="I53">
        <v>-1.39E-3</v>
      </c>
      <c r="J53">
        <v>2.8800000000000002E-3</v>
      </c>
      <c r="K53">
        <v>0</v>
      </c>
      <c r="L53">
        <v>-9.3000000000000005E-4</v>
      </c>
      <c r="M53">
        <v>2.0000000000000001E-4</v>
      </c>
      <c r="N53" s="2">
        <v>2.0000000000000002E-5</v>
      </c>
      <c r="O53">
        <v>1.34E-3</v>
      </c>
      <c r="P53">
        <v>2.0600000000000002E-3</v>
      </c>
      <c r="Q53">
        <v>-1.4999999999999999E-4</v>
      </c>
      <c r="R53">
        <v>2.9999999999999997E-4</v>
      </c>
      <c r="S53">
        <v>0</v>
      </c>
      <c r="T53">
        <v>5.5999999999999995E-4</v>
      </c>
      <c r="U53">
        <v>1.2199999999999999E-3</v>
      </c>
      <c r="V53">
        <v>2.4000000000000001E-4</v>
      </c>
      <c r="W53">
        <v>8.1999999999999998E-4</v>
      </c>
      <c r="X53">
        <v>2.82E-3</v>
      </c>
      <c r="Y53">
        <v>4.2199999999999998E-3</v>
      </c>
      <c r="Z53">
        <v>2.3000000000000001E-4</v>
      </c>
      <c r="AA53">
        <v>0</v>
      </c>
      <c r="AB53">
        <v>0</v>
      </c>
      <c r="AC53">
        <v>3.3800000000000002E-3</v>
      </c>
      <c r="AD53">
        <v>7.2000000000000005E-4</v>
      </c>
      <c r="AE53">
        <v>4.0299999999999997E-3</v>
      </c>
      <c r="AF53">
        <v>2.2200000000000002E-3</v>
      </c>
      <c r="AG53" s="2">
        <v>5.0000000000000002E-5</v>
      </c>
      <c r="AH53">
        <v>-3.2000000000000003E-4</v>
      </c>
      <c r="AI53" s="2">
        <v>1.0000000000000001E-5</v>
      </c>
    </row>
    <row r="54" spans="1:35" x14ac:dyDescent="0.25">
      <c r="A54" s="1">
        <v>40694</v>
      </c>
      <c r="B54" s="8">
        <v>-2.0500000000000001E-2</v>
      </c>
      <c r="C54">
        <v>-6.1999999999999998E-3</v>
      </c>
      <c r="D54">
        <v>-1.3500952766930641E-2</v>
      </c>
      <c r="E54">
        <v>-3.6000000000000002E-4</v>
      </c>
      <c r="F54">
        <v>1.3999999999999999E-4</v>
      </c>
      <c r="G54">
        <v>-1.14E-3</v>
      </c>
      <c r="H54">
        <v>-1.42E-3</v>
      </c>
      <c r="I54">
        <v>2.7100000000000002E-3</v>
      </c>
      <c r="J54">
        <v>-5.9300000000000004E-3</v>
      </c>
      <c r="K54">
        <v>0</v>
      </c>
      <c r="L54">
        <v>-4.8500000000000001E-3</v>
      </c>
      <c r="M54">
        <v>2.0000000000000001E-4</v>
      </c>
      <c r="N54">
        <v>-2.5899999999999999E-3</v>
      </c>
      <c r="O54">
        <v>-2.66E-3</v>
      </c>
      <c r="P54">
        <v>6.2E-4</v>
      </c>
      <c r="Q54">
        <v>-1.6100000000000001E-3</v>
      </c>
      <c r="R54">
        <v>-1.7000000000000001E-4</v>
      </c>
      <c r="S54">
        <v>0</v>
      </c>
      <c r="T54">
        <v>-3.3E-4</v>
      </c>
      <c r="U54">
        <v>-1.6900000000000001E-3</v>
      </c>
      <c r="V54" s="2">
        <v>6.9999999999999994E-5</v>
      </c>
      <c r="W54">
        <v>1.9599999999999999E-3</v>
      </c>
      <c r="X54" s="2">
        <v>6.9999999999999994E-5</v>
      </c>
      <c r="Y54">
        <v>-2.5400000000000002E-3</v>
      </c>
      <c r="Z54">
        <v>2.3000000000000001E-4</v>
      </c>
      <c r="AA54">
        <v>0</v>
      </c>
      <c r="AB54">
        <v>0</v>
      </c>
      <c r="AC54">
        <v>1.8500000000000001E-3</v>
      </c>
      <c r="AD54">
        <v>3.3E-4</v>
      </c>
      <c r="AE54">
        <v>4.4000000000000002E-4</v>
      </c>
      <c r="AF54">
        <v>-1.3999999999999999E-4</v>
      </c>
      <c r="AG54" s="2">
        <v>-6.9999999999999994E-5</v>
      </c>
      <c r="AH54">
        <v>-3.62E-3</v>
      </c>
      <c r="AI54" s="2">
        <v>-1.0000000000000001E-5</v>
      </c>
    </row>
    <row r="55" spans="1:35" x14ac:dyDescent="0.25">
      <c r="A55" s="1">
        <v>40724</v>
      </c>
      <c r="B55" s="8">
        <v>-2.0899999999999998E-2</v>
      </c>
      <c r="C55">
        <v>-1.5100000000000001E-2</v>
      </c>
      <c r="D55">
        <v>-1.825746126569705E-2</v>
      </c>
      <c r="E55">
        <v>-1.92E-3</v>
      </c>
      <c r="F55">
        <v>1.1999999999999999E-3</v>
      </c>
      <c r="G55">
        <v>-3.5899999999999999E-3</v>
      </c>
      <c r="H55">
        <v>-2.1900000000000001E-3</v>
      </c>
      <c r="I55">
        <v>-3.32E-3</v>
      </c>
      <c r="J55">
        <v>4.4000000000000002E-4</v>
      </c>
      <c r="K55">
        <v>0</v>
      </c>
      <c r="L55">
        <v>2.0600000000000002E-3</v>
      </c>
      <c r="M55" s="2">
        <v>6.0000000000000002E-5</v>
      </c>
      <c r="N55">
        <v>-4.7200000000000002E-3</v>
      </c>
      <c r="O55">
        <v>-2.16E-3</v>
      </c>
      <c r="P55">
        <v>-2.2000000000000001E-4</v>
      </c>
      <c r="Q55">
        <v>-1.6299999999999999E-3</v>
      </c>
      <c r="R55">
        <v>2.5000000000000001E-4</v>
      </c>
      <c r="S55">
        <v>0</v>
      </c>
      <c r="T55" s="2">
        <v>6.9999999999999994E-5</v>
      </c>
      <c r="U55">
        <v>2.31E-3</v>
      </c>
      <c r="V55">
        <v>1.9000000000000001E-4</v>
      </c>
      <c r="W55">
        <v>3.5500000000000002E-3</v>
      </c>
      <c r="X55">
        <v>-6.9199999999999999E-3</v>
      </c>
      <c r="Y55">
        <v>-1.4E-3</v>
      </c>
      <c r="Z55">
        <v>-2.7999999999999998E-4</v>
      </c>
      <c r="AA55">
        <v>0</v>
      </c>
      <c r="AB55">
        <v>0</v>
      </c>
      <c r="AC55">
        <v>-7.6000000000000004E-4</v>
      </c>
      <c r="AD55">
        <v>-1.1E-4</v>
      </c>
      <c r="AE55">
        <v>-1.4400000000000001E-3</v>
      </c>
      <c r="AF55">
        <v>1.42E-3</v>
      </c>
      <c r="AG55" s="2">
        <v>-4.0000000000000003E-5</v>
      </c>
      <c r="AH55">
        <v>-1.7799999999999999E-3</v>
      </c>
      <c r="AI55" s="2">
        <v>-1.0000000000000001E-5</v>
      </c>
    </row>
    <row r="56" spans="1:35" x14ac:dyDescent="0.25">
      <c r="A56" s="1">
        <v>40753</v>
      </c>
      <c r="B56" s="8">
        <v>-2.9399999999999999E-2</v>
      </c>
      <c r="C56">
        <v>-2.7699999999999999E-2</v>
      </c>
      <c r="D56">
        <v>-2.1474425791952023E-2</v>
      </c>
      <c r="E56">
        <v>8.9599999999999992E-3</v>
      </c>
      <c r="F56">
        <v>2.6700000000000001E-3</v>
      </c>
      <c r="G56">
        <v>-3.2000000000000002E-3</v>
      </c>
      <c r="H56">
        <v>-3.7599999999999999E-3</v>
      </c>
      <c r="I56">
        <v>-3.8400000000000001E-3</v>
      </c>
      <c r="J56">
        <v>-4.8199999999999996E-3</v>
      </c>
      <c r="K56">
        <v>0</v>
      </c>
      <c r="L56">
        <v>-2.5799999999999998E-3</v>
      </c>
      <c r="M56" s="2">
        <v>2.0000000000000002E-5</v>
      </c>
      <c r="N56">
        <v>-8.1999999999999998E-4</v>
      </c>
      <c r="O56">
        <v>-3.3800000000000002E-3</v>
      </c>
      <c r="P56">
        <v>-4.8999999999999998E-4</v>
      </c>
      <c r="Q56">
        <v>-1.8000000000000001E-4</v>
      </c>
      <c r="R56">
        <v>1.9000000000000001E-4</v>
      </c>
      <c r="S56">
        <v>0</v>
      </c>
      <c r="T56">
        <v>-1.14E-3</v>
      </c>
      <c r="U56">
        <v>3.14E-3</v>
      </c>
      <c r="V56" s="2">
        <v>1.0000000000000001E-5</v>
      </c>
      <c r="W56">
        <v>-7.28E-3</v>
      </c>
      <c r="X56">
        <v>-4.4600000000000004E-3</v>
      </c>
      <c r="Y56">
        <v>-2.5300000000000001E-3</v>
      </c>
      <c r="Z56">
        <v>-4.6999999999999999E-4</v>
      </c>
      <c r="AA56">
        <v>0</v>
      </c>
      <c r="AB56">
        <v>0</v>
      </c>
      <c r="AC56">
        <v>1.81E-3</v>
      </c>
      <c r="AD56">
        <v>-1.2800000000000001E-3</v>
      </c>
      <c r="AE56">
        <v>-7.3999999999999999E-4</v>
      </c>
      <c r="AF56">
        <v>-9.3999999999999997E-4</v>
      </c>
      <c r="AG56">
        <v>-2.5999999999999998E-4</v>
      </c>
      <c r="AH56">
        <v>-4.0400000000000002E-3</v>
      </c>
      <c r="AI56">
        <v>0</v>
      </c>
    </row>
    <row r="57" spans="1:35" x14ac:dyDescent="0.25">
      <c r="A57" s="1">
        <v>40786</v>
      </c>
      <c r="B57" s="8">
        <v>-5.6099999999999997E-2</v>
      </c>
      <c r="C57">
        <v>-3.1600000000000003E-2</v>
      </c>
      <c r="D57">
        <v>-5.6791107463597612E-2</v>
      </c>
      <c r="E57">
        <v>-7.9000000000000001E-4</v>
      </c>
      <c r="F57">
        <v>-9.8999999999999999E-4</v>
      </c>
      <c r="G57">
        <v>-3.0999999999999999E-3</v>
      </c>
      <c r="H57">
        <v>-5.1999999999999998E-3</v>
      </c>
      <c r="I57">
        <v>-3.82E-3</v>
      </c>
      <c r="J57">
        <v>-5.6100000000000004E-3</v>
      </c>
      <c r="K57">
        <v>0</v>
      </c>
      <c r="L57">
        <v>-4.1599999999999996E-3</v>
      </c>
      <c r="M57" s="2">
        <v>8.0000000000000007E-5</v>
      </c>
      <c r="N57">
        <v>-8.9599999999999992E-3</v>
      </c>
      <c r="O57">
        <v>-6.0000000000000001E-3</v>
      </c>
      <c r="P57">
        <v>4.6000000000000001E-4</v>
      </c>
      <c r="Q57">
        <v>-2.1900000000000001E-3</v>
      </c>
      <c r="R57">
        <v>6.4000000000000005E-4</v>
      </c>
      <c r="S57">
        <v>0</v>
      </c>
      <c r="T57">
        <v>-5.8E-4</v>
      </c>
      <c r="U57">
        <v>-1.3600000000000001E-3</v>
      </c>
      <c r="V57">
        <v>-1.1E-4</v>
      </c>
      <c r="W57">
        <v>-5.0899999999999999E-3</v>
      </c>
      <c r="X57">
        <v>-1.2700000000000001E-3</v>
      </c>
      <c r="Y57">
        <v>-5.2399999999999999E-3</v>
      </c>
      <c r="Z57" s="2">
        <v>-3.0000000000000001E-5</v>
      </c>
      <c r="AA57">
        <v>0</v>
      </c>
      <c r="AB57">
        <v>0</v>
      </c>
      <c r="AC57">
        <v>-8.9999999999999998E-4</v>
      </c>
      <c r="AD57">
        <v>-6.2E-4</v>
      </c>
      <c r="AE57">
        <v>-1.17E-3</v>
      </c>
      <c r="AF57">
        <v>-1.06E-3</v>
      </c>
      <c r="AG57">
        <v>-1E-4</v>
      </c>
      <c r="AH57">
        <v>1.06E-3</v>
      </c>
      <c r="AI57" s="2">
        <v>-1.0000000000000001E-5</v>
      </c>
    </row>
    <row r="58" spans="1:35" x14ac:dyDescent="0.25">
      <c r="A58" s="1">
        <v>40816</v>
      </c>
      <c r="B58" s="8">
        <v>-9.1200000000000003E-2</v>
      </c>
      <c r="C58">
        <v>-6.8199999999999997E-2</v>
      </c>
      <c r="D58">
        <v>-7.1761988303760127E-2</v>
      </c>
      <c r="E58">
        <v>-5.0000000000000001E-4</v>
      </c>
      <c r="F58">
        <v>1.3999999999999999E-4</v>
      </c>
      <c r="G58">
        <v>-6.4999999999999997E-3</v>
      </c>
      <c r="H58">
        <v>-8.2799999999999992E-3</v>
      </c>
      <c r="I58">
        <v>-5.6100000000000004E-3</v>
      </c>
      <c r="J58">
        <v>-1.3429999999999999E-2</v>
      </c>
      <c r="K58">
        <v>0</v>
      </c>
      <c r="L58">
        <v>-5.3299999999999997E-3</v>
      </c>
      <c r="M58">
        <v>2.2000000000000001E-4</v>
      </c>
      <c r="N58">
        <v>-8.6899999999999998E-3</v>
      </c>
      <c r="O58">
        <v>-3.8700000000000002E-3</v>
      </c>
      <c r="P58">
        <v>-6.0999999999999997E-4</v>
      </c>
      <c r="Q58">
        <v>-6.0800000000000003E-3</v>
      </c>
      <c r="R58">
        <v>-6.0999999999999997E-4</v>
      </c>
      <c r="S58">
        <v>0</v>
      </c>
      <c r="T58">
        <v>-1.89E-3</v>
      </c>
      <c r="U58">
        <v>-3.7499999999999999E-3</v>
      </c>
      <c r="V58" s="2">
        <v>-3.0000000000000001E-5</v>
      </c>
      <c r="W58">
        <v>-2.5600000000000002E-3</v>
      </c>
      <c r="X58">
        <v>-2.0300000000000001E-3</v>
      </c>
      <c r="Y58">
        <v>-7.6699999999999997E-3</v>
      </c>
      <c r="Z58">
        <v>-4.8999999999999998E-4</v>
      </c>
      <c r="AA58">
        <v>0</v>
      </c>
      <c r="AB58">
        <v>0</v>
      </c>
      <c r="AC58">
        <v>-3.14E-3</v>
      </c>
      <c r="AD58" s="2">
        <v>3.0000000000000001E-5</v>
      </c>
      <c r="AE58">
        <v>-1.6800000000000001E-3</v>
      </c>
      <c r="AF58">
        <v>-6.4999999999999997E-4</v>
      </c>
      <c r="AG58">
        <v>-3.3E-4</v>
      </c>
      <c r="AH58">
        <v>-7.8300000000000002E-3</v>
      </c>
      <c r="AI58">
        <v>0</v>
      </c>
    </row>
    <row r="59" spans="1:35" x14ac:dyDescent="0.25">
      <c r="A59" s="1">
        <v>40847</v>
      </c>
      <c r="B59" s="8">
        <v>0.1211</v>
      </c>
      <c r="C59">
        <v>9.5100000000000004E-2</v>
      </c>
      <c r="D59">
        <v>0.10772303853581011</v>
      </c>
      <c r="E59">
        <v>3.3800000000000002E-3</v>
      </c>
      <c r="F59">
        <v>-3.8000000000000002E-4</v>
      </c>
      <c r="G59">
        <v>5.9699999999999996E-3</v>
      </c>
      <c r="H59">
        <v>3.8300000000000001E-3</v>
      </c>
      <c r="I59">
        <v>3.65E-3</v>
      </c>
      <c r="J59">
        <v>2.0330000000000001E-2</v>
      </c>
      <c r="K59">
        <v>0</v>
      </c>
      <c r="L59">
        <v>8.43E-3</v>
      </c>
      <c r="M59" s="2">
        <v>8.0000000000000007E-5</v>
      </c>
      <c r="N59">
        <v>1.188E-2</v>
      </c>
      <c r="O59">
        <v>6.5799999999999999E-3</v>
      </c>
      <c r="P59">
        <v>2.1000000000000001E-4</v>
      </c>
      <c r="Q59">
        <v>4.9800000000000001E-3</v>
      </c>
      <c r="R59">
        <v>2.0000000000000001E-4</v>
      </c>
      <c r="S59">
        <v>0</v>
      </c>
      <c r="T59">
        <v>1.41E-3</v>
      </c>
      <c r="U59">
        <v>4.0800000000000003E-3</v>
      </c>
      <c r="V59">
        <v>3.5E-4</v>
      </c>
      <c r="W59">
        <v>6.11E-3</v>
      </c>
      <c r="X59">
        <v>6.1900000000000002E-3</v>
      </c>
      <c r="Y59">
        <v>1.349E-2</v>
      </c>
      <c r="Z59">
        <v>6.3000000000000003E-4</v>
      </c>
      <c r="AA59">
        <v>0</v>
      </c>
      <c r="AB59">
        <v>0</v>
      </c>
      <c r="AC59">
        <v>8.2400000000000008E-3</v>
      </c>
      <c r="AD59">
        <v>1E-3</v>
      </c>
      <c r="AE59">
        <v>3.8700000000000002E-3</v>
      </c>
      <c r="AF59">
        <v>1.01E-3</v>
      </c>
      <c r="AG59">
        <v>5.8E-4</v>
      </c>
      <c r="AH59">
        <v>4.9699999999999996E-3</v>
      </c>
      <c r="AI59" s="2">
        <v>2.0000000000000002E-5</v>
      </c>
    </row>
    <row r="60" spans="1:35" x14ac:dyDescent="0.25">
      <c r="A60" s="1">
        <v>40877</v>
      </c>
      <c r="B60" s="8">
        <v>6.9999999999999999E-4</v>
      </c>
      <c r="C60">
        <v>2.8999999999999998E-3</v>
      </c>
      <c r="D60">
        <v>-5.0587151935872487E-3</v>
      </c>
      <c r="E60">
        <v>-3.0599999999999998E-3</v>
      </c>
      <c r="F60">
        <v>-3.0100000000000001E-3</v>
      </c>
      <c r="G60">
        <v>3.4499999999999999E-3</v>
      </c>
      <c r="H60">
        <v>-6.6699999999999997E-3</v>
      </c>
      <c r="I60">
        <v>4.9899999999999996E-3</v>
      </c>
      <c r="J60">
        <v>2.5799999999999998E-3</v>
      </c>
      <c r="K60">
        <v>0</v>
      </c>
      <c r="L60">
        <v>1.83E-3</v>
      </c>
      <c r="M60" s="2">
        <v>5.0000000000000002E-5</v>
      </c>
      <c r="N60">
        <v>2.1099999999999999E-3</v>
      </c>
      <c r="O60">
        <v>-3.2200000000000002E-3</v>
      </c>
      <c r="P60">
        <v>2.5999999999999998E-4</v>
      </c>
      <c r="Q60">
        <v>-3.3500000000000001E-3</v>
      </c>
      <c r="R60">
        <v>-1.6000000000000001E-4</v>
      </c>
      <c r="S60">
        <v>0</v>
      </c>
      <c r="T60">
        <v>4.6000000000000001E-4</v>
      </c>
      <c r="U60">
        <v>-1.8600000000000001E-3</v>
      </c>
      <c r="V60">
        <v>0</v>
      </c>
      <c r="W60">
        <v>-1.8000000000000001E-4</v>
      </c>
      <c r="X60">
        <v>1.9E-3</v>
      </c>
      <c r="Y60">
        <v>2.8900000000000002E-3</v>
      </c>
      <c r="Z60">
        <v>3.6999999999999999E-4</v>
      </c>
      <c r="AA60">
        <v>0</v>
      </c>
      <c r="AB60">
        <v>0</v>
      </c>
      <c r="AC60">
        <v>-1.2199999999999999E-3</v>
      </c>
      <c r="AD60">
        <v>-2.5999999999999998E-4</v>
      </c>
      <c r="AE60">
        <v>8.8000000000000003E-4</v>
      </c>
      <c r="AF60">
        <v>4.0000000000000002E-4</v>
      </c>
      <c r="AG60">
        <v>1.4999999999999999E-4</v>
      </c>
      <c r="AH60">
        <v>1.3600000000000001E-3</v>
      </c>
      <c r="AI60" s="2">
        <v>1.0000000000000001E-5</v>
      </c>
    </row>
    <row r="61" spans="1:35" x14ac:dyDescent="0.25">
      <c r="A61" s="1">
        <v>40907</v>
      </c>
      <c r="B61" s="8">
        <v>3.0599999999999999E-2</v>
      </c>
      <c r="C61">
        <v>2.98E-2</v>
      </c>
      <c r="D61">
        <v>8.532763948144062E-3</v>
      </c>
      <c r="E61">
        <v>3.2799999999999999E-3</v>
      </c>
      <c r="F61">
        <v>-3.0200000000000001E-3</v>
      </c>
      <c r="G61">
        <v>4.64E-3</v>
      </c>
      <c r="H61">
        <v>7.2999999999999996E-4</v>
      </c>
      <c r="I61">
        <v>2.4299999999999999E-3</v>
      </c>
      <c r="J61">
        <v>-5.3E-3</v>
      </c>
      <c r="K61">
        <v>0</v>
      </c>
      <c r="L61">
        <v>1.66E-3</v>
      </c>
      <c r="M61">
        <v>1.4999999999999999E-4</v>
      </c>
      <c r="N61">
        <v>4.7600000000000003E-3</v>
      </c>
      <c r="O61">
        <v>9.1699999999999993E-3</v>
      </c>
      <c r="P61">
        <v>2.5000000000000001E-4</v>
      </c>
      <c r="Q61">
        <v>2.2599999999999999E-3</v>
      </c>
      <c r="R61">
        <v>7.2999999999999996E-4</v>
      </c>
      <c r="S61">
        <v>0</v>
      </c>
      <c r="T61">
        <v>1.2E-4</v>
      </c>
      <c r="U61">
        <v>8.7000000000000001E-4</v>
      </c>
      <c r="V61" s="2">
        <v>2.0000000000000002E-5</v>
      </c>
      <c r="W61">
        <v>1.41E-3</v>
      </c>
      <c r="X61">
        <v>-3.8300000000000001E-3</v>
      </c>
      <c r="Y61">
        <v>-2.16E-3</v>
      </c>
      <c r="Z61">
        <v>5.5999999999999995E-4</v>
      </c>
      <c r="AA61">
        <v>0</v>
      </c>
      <c r="AB61">
        <v>0</v>
      </c>
      <c r="AC61">
        <v>1.9E-3</v>
      </c>
      <c r="AD61">
        <v>1.01E-3</v>
      </c>
      <c r="AE61" s="2">
        <v>-3.0000000000000001E-5</v>
      </c>
      <c r="AF61">
        <v>1.06E-3</v>
      </c>
      <c r="AG61">
        <v>1E-4</v>
      </c>
      <c r="AH61">
        <v>7.8200000000000006E-3</v>
      </c>
      <c r="AI61" s="2">
        <v>1.0000000000000001E-5</v>
      </c>
    </row>
    <row r="62" spans="1:35" x14ac:dyDescent="0.25">
      <c r="A62" s="1">
        <v>40939</v>
      </c>
      <c r="B62" s="8">
        <v>-2.1100000000000001E-2</v>
      </c>
      <c r="C62">
        <v>4.5999999999999999E-2</v>
      </c>
      <c r="D62">
        <v>4.3583062218506274E-2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-1.1800000000000001E-3</v>
      </c>
      <c r="L62">
        <v>0</v>
      </c>
      <c r="M62">
        <v>-5.7299999999999999E-3</v>
      </c>
      <c r="N62">
        <v>0</v>
      </c>
      <c r="O62">
        <v>0</v>
      </c>
      <c r="P62">
        <v>5.0000000000000001E-4</v>
      </c>
      <c r="Q62">
        <v>0</v>
      </c>
      <c r="R62">
        <v>-3.49E-3</v>
      </c>
      <c r="S62">
        <v>-1.2800000000000001E-3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-1.1100000000000001E-3</v>
      </c>
      <c r="AA62">
        <v>-4.7099999999999998E-3</v>
      </c>
      <c r="AB62">
        <v>-1.58E-3</v>
      </c>
      <c r="AC62">
        <v>0</v>
      </c>
      <c r="AD62">
        <v>-1.2899999999999999E-3</v>
      </c>
      <c r="AE62">
        <v>0</v>
      </c>
      <c r="AF62">
        <v>0</v>
      </c>
      <c r="AG62">
        <v>0</v>
      </c>
      <c r="AH62">
        <v>0</v>
      </c>
      <c r="AI62">
        <v>-1.1999999999999999E-3</v>
      </c>
    </row>
    <row r="63" spans="1:35" x14ac:dyDescent="0.25">
      <c r="A63" s="1">
        <v>40968</v>
      </c>
      <c r="B63" s="8">
        <v>2.1499999999999998E-2</v>
      </c>
      <c r="C63">
        <v>4.1799999999999997E-2</v>
      </c>
      <c r="D63">
        <v>4.0589464130841746E-2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2.7100000000000002E-3</v>
      </c>
      <c r="L63">
        <v>0</v>
      </c>
      <c r="M63">
        <v>1.91E-3</v>
      </c>
      <c r="N63">
        <v>0</v>
      </c>
      <c r="O63">
        <v>0</v>
      </c>
      <c r="P63">
        <v>-3.8999999999999999E-4</v>
      </c>
      <c r="Q63">
        <v>0</v>
      </c>
      <c r="R63">
        <v>3.4499999999999999E-3</v>
      </c>
      <c r="S63">
        <v>9.3999999999999997E-4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-2.5999999999999998E-4</v>
      </c>
      <c r="AA63">
        <v>7.2700000000000004E-3</v>
      </c>
      <c r="AB63">
        <v>-1.97E-3</v>
      </c>
      <c r="AC63">
        <v>0</v>
      </c>
      <c r="AD63">
        <v>4.0099999999999997E-3</v>
      </c>
      <c r="AE63">
        <v>0</v>
      </c>
      <c r="AF63">
        <v>0</v>
      </c>
      <c r="AG63">
        <v>0</v>
      </c>
      <c r="AH63">
        <v>0</v>
      </c>
      <c r="AI63">
        <v>3.8600000000000001E-3</v>
      </c>
    </row>
    <row r="64" spans="1:35" x14ac:dyDescent="0.25">
      <c r="A64" s="1">
        <v>40998</v>
      </c>
      <c r="B64" s="8">
        <v>2.3900000000000001E-2</v>
      </c>
      <c r="C64">
        <v>3.5099999999999999E-2</v>
      </c>
      <c r="D64">
        <v>3.1332314530530647E-2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4.9399999999999999E-3</v>
      </c>
      <c r="L64">
        <v>0</v>
      </c>
      <c r="M64">
        <v>1.47E-3</v>
      </c>
      <c r="N64">
        <v>0</v>
      </c>
      <c r="O64">
        <v>0</v>
      </c>
      <c r="P64">
        <v>1.3500000000000001E-3</v>
      </c>
      <c r="Q64">
        <v>0</v>
      </c>
      <c r="R64">
        <v>6.6699999999999997E-3</v>
      </c>
      <c r="S64">
        <v>-1.1900000000000001E-3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7.1999999999999998E-3</v>
      </c>
      <c r="AA64">
        <v>-6.0999999999999997E-4</v>
      </c>
      <c r="AB64">
        <v>1.67E-3</v>
      </c>
      <c r="AC64">
        <v>0</v>
      </c>
      <c r="AD64">
        <v>2.0899999999999998E-3</v>
      </c>
      <c r="AE64">
        <v>0</v>
      </c>
      <c r="AF64">
        <v>0</v>
      </c>
      <c r="AG64">
        <v>0</v>
      </c>
      <c r="AH64">
        <v>0</v>
      </c>
      <c r="AI64">
        <v>2.7E-4</v>
      </c>
    </row>
    <row r="65" spans="1:35" x14ac:dyDescent="0.25">
      <c r="A65" s="1">
        <v>41029</v>
      </c>
      <c r="B65" s="8">
        <v>1.01E-2</v>
      </c>
      <c r="C65">
        <v>-8.8999999999999999E-3</v>
      </c>
      <c r="D65">
        <v>-7.4974527092703802E-3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1.82E-3</v>
      </c>
      <c r="L65">
        <v>0</v>
      </c>
      <c r="M65">
        <v>1.91E-3</v>
      </c>
      <c r="N65">
        <v>0</v>
      </c>
      <c r="O65">
        <v>0</v>
      </c>
      <c r="P65">
        <v>-1.2999999999999999E-3</v>
      </c>
      <c r="Q65">
        <v>0</v>
      </c>
      <c r="R65">
        <v>3.1199999999999999E-3</v>
      </c>
      <c r="S65">
        <v>-6.6E-4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1.1299999999999999E-3</v>
      </c>
      <c r="AA65">
        <v>-4.4799999999999996E-3</v>
      </c>
      <c r="AB65">
        <v>2.2499999999999998E-3</v>
      </c>
      <c r="AC65">
        <v>0</v>
      </c>
      <c r="AD65">
        <v>6.79E-3</v>
      </c>
      <c r="AE65">
        <v>0</v>
      </c>
      <c r="AF65">
        <v>0</v>
      </c>
      <c r="AG65">
        <v>0</v>
      </c>
      <c r="AH65">
        <v>0</v>
      </c>
      <c r="AI65">
        <v>-4.4999999999999999E-4</v>
      </c>
    </row>
    <row r="66" spans="1:35" x14ac:dyDescent="0.25">
      <c r="A66" s="1">
        <v>41060</v>
      </c>
      <c r="B66" s="8">
        <v>-2.18E-2</v>
      </c>
      <c r="C66">
        <v>-5.7500000000000002E-2</v>
      </c>
      <c r="D66">
        <v>-6.265072563317764E-2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-6.4999999999999997E-4</v>
      </c>
      <c r="L66">
        <v>0</v>
      </c>
      <c r="M66">
        <v>7.6000000000000004E-4</v>
      </c>
      <c r="N66">
        <v>0</v>
      </c>
      <c r="O66">
        <v>0</v>
      </c>
      <c r="P66">
        <v>-3.16E-3</v>
      </c>
      <c r="Q66">
        <v>0</v>
      </c>
      <c r="R66">
        <v>-2.0799999999999998E-3</v>
      </c>
      <c r="S66">
        <v>-7.6E-3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-3.5400000000000002E-3</v>
      </c>
      <c r="AA66">
        <v>-2.1199999999999999E-3</v>
      </c>
      <c r="AB66">
        <v>1E-3</v>
      </c>
      <c r="AC66">
        <v>0</v>
      </c>
      <c r="AD66">
        <v>3.8300000000000001E-3</v>
      </c>
      <c r="AE66">
        <v>0</v>
      </c>
      <c r="AF66">
        <v>0</v>
      </c>
      <c r="AG66">
        <v>0</v>
      </c>
      <c r="AH66">
        <v>0</v>
      </c>
      <c r="AI66">
        <v>-8.2699999999999996E-3</v>
      </c>
    </row>
    <row r="67" spans="1:35" x14ac:dyDescent="0.25">
      <c r="A67" s="1">
        <v>41089</v>
      </c>
      <c r="B67" s="8">
        <v>3.9800000000000002E-2</v>
      </c>
      <c r="C67">
        <v>4.7500000000000001E-2</v>
      </c>
      <c r="D67">
        <v>3.9554982134591521E-2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5.8999999999999999E-3</v>
      </c>
      <c r="L67">
        <v>0</v>
      </c>
      <c r="M67">
        <v>3.7299999999999998E-3</v>
      </c>
      <c r="N67">
        <v>0</v>
      </c>
      <c r="O67">
        <v>0</v>
      </c>
      <c r="P67">
        <v>8.2199999999999999E-3</v>
      </c>
      <c r="Q67">
        <v>0</v>
      </c>
      <c r="R67">
        <v>5.3099999999999996E-3</v>
      </c>
      <c r="S67">
        <v>-9.1E-4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5.1700000000000001E-3</v>
      </c>
      <c r="AA67">
        <v>-1.67E-3</v>
      </c>
      <c r="AB67">
        <v>8.4999999999999995E-4</v>
      </c>
      <c r="AC67">
        <v>0</v>
      </c>
      <c r="AD67">
        <v>4.3600000000000002E-3</v>
      </c>
      <c r="AE67">
        <v>0</v>
      </c>
      <c r="AF67">
        <v>0</v>
      </c>
      <c r="AG67">
        <v>0</v>
      </c>
      <c r="AH67">
        <v>0</v>
      </c>
      <c r="AI67">
        <v>8.8299999999999993E-3</v>
      </c>
    </row>
    <row r="68" spans="1:35" x14ac:dyDescent="0.25">
      <c r="A68" s="1">
        <v>41121</v>
      </c>
      <c r="B68" s="8">
        <v>3.49E-2</v>
      </c>
      <c r="C68">
        <v>8.8000000000000005E-3</v>
      </c>
      <c r="D68">
        <v>1.2597574126154365E-2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3.7299999999999998E-3</v>
      </c>
      <c r="L68">
        <v>0</v>
      </c>
      <c r="M68">
        <v>5.6999999999999998E-4</v>
      </c>
      <c r="N68">
        <v>0</v>
      </c>
      <c r="O68">
        <v>0</v>
      </c>
      <c r="P68">
        <v>2.4599999999999999E-3</v>
      </c>
      <c r="Q68">
        <v>0</v>
      </c>
      <c r="R68">
        <v>3.3400000000000001E-3</v>
      </c>
      <c r="S68">
        <v>9.3999999999999997E-4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4.5199999999999997E-3</v>
      </c>
      <c r="AA68">
        <v>6.2899999999999996E-3</v>
      </c>
      <c r="AB68">
        <v>4.0000000000000001E-3</v>
      </c>
      <c r="AC68">
        <v>0</v>
      </c>
      <c r="AD68">
        <v>7.5700000000000003E-3</v>
      </c>
      <c r="AE68">
        <v>0</v>
      </c>
      <c r="AF68">
        <v>0</v>
      </c>
      <c r="AG68">
        <v>0</v>
      </c>
      <c r="AH68">
        <v>0</v>
      </c>
      <c r="AI68">
        <v>1.5E-3</v>
      </c>
    </row>
    <row r="69" spans="1:35" x14ac:dyDescent="0.25">
      <c r="A69" s="1">
        <v>41152</v>
      </c>
      <c r="B69" s="8">
        <v>-1.43E-2</v>
      </c>
      <c r="C69">
        <v>1.4999999999999999E-2</v>
      </c>
      <c r="D69">
        <v>1.9763369680148246E-2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-9.7999999999999997E-4</v>
      </c>
      <c r="L69">
        <v>0</v>
      </c>
      <c r="M69">
        <v>-2.3999999999999998E-3</v>
      </c>
      <c r="N69">
        <v>0</v>
      </c>
      <c r="O69">
        <v>0</v>
      </c>
      <c r="P69">
        <v>-1.6999999999999999E-3</v>
      </c>
      <c r="Q69">
        <v>0</v>
      </c>
      <c r="R69">
        <v>-7.43E-3</v>
      </c>
      <c r="S69">
        <v>9.3000000000000005E-4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1.7000000000000001E-4</v>
      </c>
      <c r="AA69">
        <v>4.1099999999999999E-3</v>
      </c>
      <c r="AB69">
        <v>-4.8399999999999997E-3</v>
      </c>
      <c r="AC69">
        <v>0</v>
      </c>
      <c r="AD69">
        <v>-3.3800000000000002E-3</v>
      </c>
      <c r="AE69">
        <v>0</v>
      </c>
      <c r="AF69">
        <v>0</v>
      </c>
      <c r="AG69">
        <v>0</v>
      </c>
      <c r="AH69">
        <v>0</v>
      </c>
      <c r="AI69">
        <v>1.17E-3</v>
      </c>
    </row>
    <row r="70" spans="1:35" x14ac:dyDescent="0.25">
      <c r="A70" s="1">
        <v>41180</v>
      </c>
      <c r="B70" s="8">
        <v>2.53E-2</v>
      </c>
      <c r="C70">
        <v>2.52E-2</v>
      </c>
      <c r="D70">
        <v>2.4236153696477025E-2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8.5999999999999998E-4</v>
      </c>
      <c r="L70">
        <v>0</v>
      </c>
      <c r="M70">
        <v>8.8000000000000003E-4</v>
      </c>
      <c r="N70">
        <v>0</v>
      </c>
      <c r="O70">
        <v>0</v>
      </c>
      <c r="P70">
        <v>2.1900000000000001E-3</v>
      </c>
      <c r="Q70">
        <v>0</v>
      </c>
      <c r="R70">
        <v>2.0999999999999999E-3</v>
      </c>
      <c r="S70">
        <v>2.5300000000000001E-3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4.15E-3</v>
      </c>
      <c r="AA70">
        <v>3.2299999999999998E-3</v>
      </c>
      <c r="AB70">
        <v>1.6800000000000001E-3</v>
      </c>
      <c r="AC70">
        <v>0</v>
      </c>
      <c r="AD70">
        <v>2.8900000000000002E-3</v>
      </c>
      <c r="AE70">
        <v>0</v>
      </c>
      <c r="AF70">
        <v>0</v>
      </c>
      <c r="AG70">
        <v>0</v>
      </c>
      <c r="AH70">
        <v>0</v>
      </c>
      <c r="AI70">
        <v>4.7499999999999999E-3</v>
      </c>
    </row>
    <row r="71" spans="1:35" x14ac:dyDescent="0.25">
      <c r="A71" s="1">
        <v>41213</v>
      </c>
      <c r="B71" s="8">
        <v>-1.15E-2</v>
      </c>
      <c r="C71">
        <v>-1.6899999999999998E-2</v>
      </c>
      <c r="D71">
        <v>-1.9789409878227415E-2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-1.5299999999999999E-3</v>
      </c>
      <c r="L71">
        <v>0</v>
      </c>
      <c r="M71">
        <v>-2.9999999999999997E-4</v>
      </c>
      <c r="N71">
        <v>0</v>
      </c>
      <c r="O71">
        <v>0</v>
      </c>
      <c r="P71">
        <v>2.7699999999999999E-3</v>
      </c>
      <c r="Q71">
        <v>0</v>
      </c>
      <c r="R71">
        <v>-1.98E-3</v>
      </c>
      <c r="S71">
        <v>-5.4000000000000003E-3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 s="2">
        <v>8.0000000000000007E-5</v>
      </c>
      <c r="AA71">
        <v>6.4000000000000005E-4</v>
      </c>
      <c r="AB71">
        <v>1.6299999999999999E-3</v>
      </c>
      <c r="AC71">
        <v>0</v>
      </c>
      <c r="AD71">
        <v>-7.0800000000000004E-3</v>
      </c>
      <c r="AE71">
        <v>0</v>
      </c>
      <c r="AF71">
        <v>0</v>
      </c>
      <c r="AG71">
        <v>0</v>
      </c>
      <c r="AH71">
        <v>0</v>
      </c>
      <c r="AI71">
        <v>-3.1E-4</v>
      </c>
    </row>
    <row r="72" spans="1:35" x14ac:dyDescent="0.25">
      <c r="A72" s="1">
        <v>41243</v>
      </c>
      <c r="B72" s="8">
        <v>-3.3E-3</v>
      </c>
      <c r="C72">
        <v>1.29E-2</v>
      </c>
      <c r="D72">
        <v>2.8467170173434031E-3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3.3700000000000002E-3</v>
      </c>
      <c r="L72">
        <v>0</v>
      </c>
      <c r="M72">
        <v>-2.16E-3</v>
      </c>
      <c r="N72">
        <v>0</v>
      </c>
      <c r="O72">
        <v>0</v>
      </c>
      <c r="P72">
        <v>-6.8000000000000005E-4</v>
      </c>
      <c r="Q72">
        <v>0</v>
      </c>
      <c r="R72">
        <v>2.6800000000000001E-3</v>
      </c>
      <c r="S72">
        <v>1.16E-3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1.49E-3</v>
      </c>
      <c r="AA72">
        <v>8.4999999999999995E-4</v>
      </c>
      <c r="AB72">
        <v>-5.9800000000000001E-3</v>
      </c>
      <c r="AC72">
        <v>0</v>
      </c>
      <c r="AD72">
        <v>-1.33E-3</v>
      </c>
      <c r="AE72">
        <v>0</v>
      </c>
      <c r="AF72">
        <v>0</v>
      </c>
      <c r="AG72">
        <v>0</v>
      </c>
      <c r="AH72">
        <v>0</v>
      </c>
      <c r="AI72">
        <v>-2.7000000000000001E-3</v>
      </c>
    </row>
    <row r="73" spans="1:35" x14ac:dyDescent="0.25">
      <c r="A73" s="1">
        <v>41274</v>
      </c>
      <c r="B73" s="8">
        <v>-1.21E-2</v>
      </c>
      <c r="C73">
        <v>1.1900000000000001E-2</v>
      </c>
      <c r="D73">
        <v>7.068230463864511E-3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-3.65E-3</v>
      </c>
      <c r="L73">
        <v>0</v>
      </c>
      <c r="M73">
        <v>1.3500000000000001E-3</v>
      </c>
      <c r="N73">
        <v>0</v>
      </c>
      <c r="O73">
        <v>0</v>
      </c>
      <c r="P73">
        <v>5.2999999999999998E-4</v>
      </c>
      <c r="Q73">
        <v>0</v>
      </c>
      <c r="R73">
        <v>-4.4000000000000003E-3</v>
      </c>
      <c r="S73">
        <v>1.34E-3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2.4000000000000001E-4</v>
      </c>
      <c r="AA73">
        <v>-2.7799999999999999E-3</v>
      </c>
      <c r="AB73">
        <v>-1.6999999999999999E-3</v>
      </c>
      <c r="AC73">
        <v>0</v>
      </c>
      <c r="AD73">
        <v>-1.23E-3</v>
      </c>
      <c r="AE73">
        <v>0</v>
      </c>
      <c r="AF73">
        <v>0</v>
      </c>
      <c r="AG73">
        <v>0</v>
      </c>
      <c r="AH73">
        <v>0</v>
      </c>
      <c r="AI73">
        <v>-1.8E-3</v>
      </c>
    </row>
    <row r="74" spans="1:35" x14ac:dyDescent="0.25">
      <c r="A74" s="1">
        <v>41305</v>
      </c>
      <c r="B74" s="8">
        <v>4.1700000000000001E-2</v>
      </c>
      <c r="C74">
        <v>4.5600000000000002E-2</v>
      </c>
      <c r="D74">
        <v>5.0428096519578469E-2</v>
      </c>
      <c r="E74">
        <v>-7.6800000000000002E-3</v>
      </c>
      <c r="F74">
        <v>1.8699999999999999E-3</v>
      </c>
      <c r="G74">
        <v>-1.1900000000000001E-3</v>
      </c>
      <c r="H74">
        <v>-5.9999999999999995E-4</v>
      </c>
      <c r="I74">
        <v>7.9299999999999995E-3</v>
      </c>
      <c r="J74">
        <v>5.7299999999999999E-3</v>
      </c>
      <c r="K74">
        <v>0</v>
      </c>
      <c r="L74" s="2">
        <v>1.0000000000000001E-5</v>
      </c>
      <c r="M74">
        <v>3.6999999999999999E-4</v>
      </c>
      <c r="N74">
        <v>5.5799999999999999E-3</v>
      </c>
      <c r="O74">
        <v>3.0699999999999998E-3</v>
      </c>
      <c r="P74">
        <v>6.3000000000000003E-4</v>
      </c>
      <c r="Q74">
        <v>2.5000000000000001E-3</v>
      </c>
      <c r="R74" s="2">
        <v>4.0000000000000003E-5</v>
      </c>
      <c r="S74">
        <v>0</v>
      </c>
      <c r="T74">
        <v>2.9399999999999999E-3</v>
      </c>
      <c r="U74">
        <v>1.57E-3</v>
      </c>
      <c r="V74">
        <v>6.4000000000000005E-4</v>
      </c>
      <c r="W74">
        <v>-2.1700000000000001E-3</v>
      </c>
      <c r="X74">
        <v>0</v>
      </c>
      <c r="Y74">
        <v>1.043E-2</v>
      </c>
      <c r="Z74">
        <v>1.6100000000000001E-3</v>
      </c>
      <c r="AA74">
        <v>0</v>
      </c>
      <c r="AB74">
        <v>0</v>
      </c>
      <c r="AC74">
        <v>5.1000000000000004E-4</v>
      </c>
      <c r="AD74">
        <v>7.9000000000000001E-4</v>
      </c>
      <c r="AE74">
        <v>1.58E-3</v>
      </c>
      <c r="AF74">
        <v>4.2000000000000002E-4</v>
      </c>
      <c r="AG74">
        <v>2.0699999999999998E-3</v>
      </c>
      <c r="AH74">
        <v>2.2000000000000001E-3</v>
      </c>
      <c r="AI74">
        <v>8.8999999999999995E-4</v>
      </c>
    </row>
    <row r="75" spans="1:35" x14ac:dyDescent="0.25">
      <c r="A75" s="1">
        <v>41333</v>
      </c>
      <c r="B75" s="8">
        <v>5.0000000000000001E-3</v>
      </c>
      <c r="C75">
        <v>1.1599999999999999E-2</v>
      </c>
      <c r="D75">
        <v>1.1060649195259176E-2</v>
      </c>
      <c r="E75">
        <v>-1.34E-3</v>
      </c>
      <c r="F75">
        <v>-1.4999999999999999E-4</v>
      </c>
      <c r="G75">
        <v>2.8600000000000001E-3</v>
      </c>
      <c r="H75">
        <v>-1.7000000000000001E-4</v>
      </c>
      <c r="I75">
        <v>8.0999999999999996E-4</v>
      </c>
      <c r="J75">
        <v>-3.5799999999999998E-3</v>
      </c>
      <c r="K75">
        <v>0</v>
      </c>
      <c r="L75">
        <v>7.6000000000000004E-4</v>
      </c>
      <c r="M75">
        <v>3.8000000000000002E-4</v>
      </c>
      <c r="N75">
        <v>8.8999999999999995E-4</v>
      </c>
      <c r="O75">
        <v>2.5300000000000001E-3</v>
      </c>
      <c r="P75">
        <v>4.4000000000000002E-4</v>
      </c>
      <c r="Q75">
        <v>1.2899999999999999E-3</v>
      </c>
      <c r="R75" s="2">
        <v>6.0000000000000002E-5</v>
      </c>
      <c r="S75">
        <v>0</v>
      </c>
      <c r="T75">
        <v>1.4400000000000001E-3</v>
      </c>
      <c r="U75">
        <v>1.1999999999999999E-3</v>
      </c>
      <c r="V75">
        <v>1.4999999999999999E-4</v>
      </c>
      <c r="W75">
        <v>1.06E-3</v>
      </c>
      <c r="X75">
        <v>8.8000000000000003E-4</v>
      </c>
      <c r="Y75">
        <v>-4.6100000000000004E-3</v>
      </c>
      <c r="Z75" s="2">
        <v>5.0000000000000002E-5</v>
      </c>
      <c r="AA75">
        <v>0</v>
      </c>
      <c r="AB75">
        <v>0</v>
      </c>
      <c r="AC75" s="2">
        <v>-4.0000000000000003E-5</v>
      </c>
      <c r="AD75">
        <v>5.5999999999999995E-4</v>
      </c>
      <c r="AE75">
        <v>1.34E-3</v>
      </c>
      <c r="AF75">
        <v>-7.5000000000000002E-4</v>
      </c>
      <c r="AG75">
        <v>1.3799999999999999E-3</v>
      </c>
      <c r="AH75">
        <v>-2.5200000000000001E-3</v>
      </c>
      <c r="AI75" s="2">
        <v>4.0000000000000003E-5</v>
      </c>
    </row>
    <row r="76" spans="1:35" x14ac:dyDescent="0.25">
      <c r="A76" s="1">
        <v>41361</v>
      </c>
      <c r="B76" s="8">
        <v>2.2700000000000001E-2</v>
      </c>
      <c r="C76">
        <v>2.87E-2</v>
      </c>
      <c r="D76">
        <v>3.5987723516956116E-2</v>
      </c>
      <c r="E76">
        <v>1.4999999999999999E-4</v>
      </c>
      <c r="F76">
        <v>2.7E-4</v>
      </c>
      <c r="G76">
        <v>7.0099999999999997E-3</v>
      </c>
      <c r="H76">
        <v>2.0400000000000001E-3</v>
      </c>
      <c r="I76">
        <v>4.3499999999999997E-3</v>
      </c>
      <c r="J76">
        <v>-3.4199999999999999E-3</v>
      </c>
      <c r="K76">
        <v>0</v>
      </c>
      <c r="L76">
        <v>2.6900000000000001E-3</v>
      </c>
      <c r="M76">
        <v>3.3E-4</v>
      </c>
      <c r="N76">
        <v>2.7499999999999998E-3</v>
      </c>
      <c r="O76">
        <v>-2.1000000000000001E-4</v>
      </c>
      <c r="P76">
        <v>8.1999999999999998E-4</v>
      </c>
      <c r="Q76">
        <v>-9.7000000000000005E-4</v>
      </c>
      <c r="R76" s="2">
        <v>6.9999999999999994E-5</v>
      </c>
      <c r="S76">
        <v>0</v>
      </c>
      <c r="T76">
        <v>7.9000000000000001E-4</v>
      </c>
      <c r="U76">
        <v>1.64E-3</v>
      </c>
      <c r="V76">
        <v>1.1299999999999999E-3</v>
      </c>
      <c r="W76">
        <v>3.9300000000000003E-3</v>
      </c>
      <c r="X76">
        <v>2.9999999999999997E-4</v>
      </c>
      <c r="Y76">
        <v>-2.7599999999999999E-3</v>
      </c>
      <c r="Z76">
        <v>8.9999999999999998E-4</v>
      </c>
      <c r="AA76">
        <v>0</v>
      </c>
      <c r="AB76">
        <v>0</v>
      </c>
      <c r="AC76" s="2">
        <v>-6.9999999999999994E-5</v>
      </c>
      <c r="AD76">
        <v>3.8000000000000002E-4</v>
      </c>
      <c r="AE76">
        <v>-2.7100000000000002E-3</v>
      </c>
      <c r="AF76">
        <v>1.74E-3</v>
      </c>
      <c r="AG76">
        <v>1.08E-3</v>
      </c>
      <c r="AH76">
        <v>3.8000000000000002E-4</v>
      </c>
      <c r="AI76">
        <v>1.3999999999999999E-4</v>
      </c>
    </row>
    <row r="77" spans="1:35" x14ac:dyDescent="0.25">
      <c r="A77" s="1">
        <v>41394</v>
      </c>
      <c r="B77" s="8">
        <v>4.7399999999999998E-2</v>
      </c>
      <c r="C77">
        <v>3.78E-2</v>
      </c>
      <c r="D77">
        <v>1.8085767859252311E-2</v>
      </c>
      <c r="E77" s="2">
        <v>1.0000000000000001E-5</v>
      </c>
      <c r="F77">
        <v>-1.5299999999999999E-3</v>
      </c>
      <c r="G77">
        <v>3.8999999999999998E-3</v>
      </c>
      <c r="H77">
        <v>2.5999999999999998E-4</v>
      </c>
      <c r="I77">
        <v>2.0699999999999998E-3</v>
      </c>
      <c r="J77">
        <v>-1.1999999999999999E-3</v>
      </c>
      <c r="K77">
        <v>0</v>
      </c>
      <c r="L77">
        <v>4.2000000000000002E-4</v>
      </c>
      <c r="M77">
        <v>5.1000000000000004E-4</v>
      </c>
      <c r="N77">
        <v>7.2199999999999999E-3</v>
      </c>
      <c r="O77">
        <v>-1.7899999999999999E-3</v>
      </c>
      <c r="P77">
        <v>5.1999999999999995E-4</v>
      </c>
      <c r="Q77">
        <v>1.2700000000000001E-3</v>
      </c>
      <c r="R77" s="2">
        <v>6.9999999999999994E-5</v>
      </c>
      <c r="S77">
        <v>0</v>
      </c>
      <c r="T77">
        <v>-5.2999999999999998E-4</v>
      </c>
      <c r="U77">
        <v>8.9099999999999995E-3</v>
      </c>
      <c r="V77">
        <v>1.0499999999999999E-3</v>
      </c>
      <c r="W77">
        <v>4.6100000000000004E-3</v>
      </c>
      <c r="X77">
        <v>1.66E-3</v>
      </c>
      <c r="Y77">
        <v>9.5200000000000007E-3</v>
      </c>
      <c r="Z77">
        <v>1.2E-4</v>
      </c>
      <c r="AA77">
        <v>0</v>
      </c>
      <c r="AB77">
        <v>0</v>
      </c>
      <c r="AC77">
        <v>4.7099999999999998E-3</v>
      </c>
      <c r="AD77">
        <v>5.8E-4</v>
      </c>
      <c r="AE77">
        <v>5.1200000000000004E-3</v>
      </c>
      <c r="AF77">
        <v>1.1100000000000001E-3</v>
      </c>
      <c r="AG77" s="2">
        <v>-2.0000000000000002E-5</v>
      </c>
      <c r="AH77">
        <v>-8.8999999999999995E-4</v>
      </c>
      <c r="AI77">
        <v>-2.7999999999999998E-4</v>
      </c>
    </row>
    <row r="78" spans="1:35" x14ac:dyDescent="0.25">
      <c r="A78" s="1">
        <v>41425</v>
      </c>
      <c r="B78" s="8">
        <v>3.44E-2</v>
      </c>
      <c r="C78">
        <v>1.4800000000000001E-2</v>
      </c>
      <c r="D78">
        <v>2.0762811721046104E-2</v>
      </c>
      <c r="E78">
        <v>1.1999999999999999E-3</v>
      </c>
      <c r="F78">
        <v>1.9499999999999999E-3</v>
      </c>
      <c r="G78">
        <v>5.3299999999999997E-3</v>
      </c>
      <c r="H78">
        <v>2.64E-3</v>
      </c>
      <c r="I78">
        <v>2.64E-3</v>
      </c>
      <c r="J78">
        <v>7.7999999999999999E-4</v>
      </c>
      <c r="K78">
        <v>0</v>
      </c>
      <c r="L78">
        <v>1.8600000000000001E-3</v>
      </c>
      <c r="M78">
        <v>-6.9999999999999999E-4</v>
      </c>
      <c r="N78">
        <v>2.5999999999999998E-4</v>
      </c>
      <c r="O78">
        <v>2.31E-3</v>
      </c>
      <c r="P78" s="2">
        <v>-5.0000000000000002E-5</v>
      </c>
      <c r="Q78">
        <v>3.7000000000000002E-3</v>
      </c>
      <c r="R78" s="2">
        <v>-8.0000000000000007E-5</v>
      </c>
      <c r="S78">
        <v>0</v>
      </c>
      <c r="T78">
        <v>2.0899999999999998E-3</v>
      </c>
      <c r="U78">
        <v>3.48E-3</v>
      </c>
      <c r="V78">
        <v>-3.6999999999999999E-4</v>
      </c>
      <c r="W78">
        <v>5.5399999999999998E-3</v>
      </c>
      <c r="X78">
        <v>1.2700000000000001E-3</v>
      </c>
      <c r="Y78">
        <v>2.16E-3</v>
      </c>
      <c r="Z78">
        <v>-9.1E-4</v>
      </c>
      <c r="AA78">
        <v>0</v>
      </c>
      <c r="AB78">
        <v>0</v>
      </c>
      <c r="AC78">
        <v>-2.2499999999999998E-3</v>
      </c>
      <c r="AD78">
        <v>-1.15E-3</v>
      </c>
      <c r="AE78">
        <v>-1.0300000000000001E-3</v>
      </c>
      <c r="AF78">
        <v>1.0499999999999999E-3</v>
      </c>
      <c r="AG78">
        <v>2.2000000000000001E-4</v>
      </c>
      <c r="AH78">
        <v>1.89E-3</v>
      </c>
      <c r="AI78">
        <v>5.2999999999999998E-4</v>
      </c>
    </row>
    <row r="79" spans="1:35" x14ac:dyDescent="0.25">
      <c r="A79" s="1">
        <v>41453</v>
      </c>
      <c r="B79" s="8">
        <v>-1.8200000000000001E-2</v>
      </c>
      <c r="C79">
        <v>-9.7000000000000003E-3</v>
      </c>
      <c r="D79">
        <v>-1.4999301636062778E-2</v>
      </c>
      <c r="E79">
        <v>-6.3099999999999996E-3</v>
      </c>
      <c r="F79">
        <v>1.01E-3</v>
      </c>
      <c r="G79">
        <v>2.0799999999999998E-3</v>
      </c>
      <c r="H79">
        <v>-1.39E-3</v>
      </c>
      <c r="I79">
        <v>-4.1000000000000003E-3</v>
      </c>
      <c r="J79">
        <v>-2.2599999999999999E-3</v>
      </c>
      <c r="K79">
        <v>0</v>
      </c>
      <c r="L79">
        <v>-9.8999999999999999E-4</v>
      </c>
      <c r="M79">
        <v>1.2E-4</v>
      </c>
      <c r="N79" s="2">
        <v>8.0000000000000007E-5</v>
      </c>
      <c r="O79">
        <v>1.2999999999999999E-4</v>
      </c>
      <c r="P79">
        <v>2.3000000000000001E-4</v>
      </c>
      <c r="Q79">
        <v>-1.07E-3</v>
      </c>
      <c r="R79" s="2">
        <v>1.0000000000000001E-5</v>
      </c>
      <c r="S79">
        <v>0</v>
      </c>
      <c r="T79">
        <v>-2.9999999999999997E-4</v>
      </c>
      <c r="U79">
        <v>-5.8E-4</v>
      </c>
      <c r="V79">
        <v>4.4000000000000002E-4</v>
      </c>
      <c r="W79">
        <v>2.9E-4</v>
      </c>
      <c r="X79">
        <v>-6.7000000000000002E-4</v>
      </c>
      <c r="Y79">
        <v>-1.64E-3</v>
      </c>
      <c r="Z79">
        <v>4.6999999999999999E-4</v>
      </c>
      <c r="AA79">
        <v>0</v>
      </c>
      <c r="AB79">
        <v>0</v>
      </c>
      <c r="AC79">
        <v>-1.9599999999999999E-3</v>
      </c>
      <c r="AD79">
        <v>2.1000000000000001E-4</v>
      </c>
      <c r="AE79">
        <v>-8.4999999999999995E-4</v>
      </c>
      <c r="AF79">
        <v>1.17E-3</v>
      </c>
      <c r="AG79">
        <v>1.9000000000000001E-4</v>
      </c>
      <c r="AH79">
        <v>-2.4499999999999999E-3</v>
      </c>
      <c r="AI79" s="2">
        <v>-3.0000000000000001E-5</v>
      </c>
    </row>
    <row r="80" spans="1:35" x14ac:dyDescent="0.25">
      <c r="A80" s="1">
        <v>41486</v>
      </c>
      <c r="B80" s="8">
        <v>4.2200000000000001E-2</v>
      </c>
      <c r="C80">
        <v>3.9899999999999998E-2</v>
      </c>
      <c r="D80">
        <v>4.9462079815224991E-2</v>
      </c>
      <c r="E80">
        <v>7.5300000000000002E-3</v>
      </c>
      <c r="F80">
        <v>2.7200000000000002E-3</v>
      </c>
      <c r="G80">
        <v>1.56E-3</v>
      </c>
      <c r="H80">
        <v>3.2599999999999999E-3</v>
      </c>
      <c r="I80">
        <v>5.4200000000000003E-3</v>
      </c>
      <c r="J80">
        <v>7.2000000000000005E-4</v>
      </c>
      <c r="K80">
        <v>0</v>
      </c>
      <c r="L80">
        <v>6.0499999999999998E-3</v>
      </c>
      <c r="M80">
        <v>3.6999999999999999E-4</v>
      </c>
      <c r="N80">
        <v>1.6100000000000001E-3</v>
      </c>
      <c r="O80">
        <v>2.5400000000000002E-3</v>
      </c>
      <c r="P80">
        <v>1.0200000000000001E-3</v>
      </c>
      <c r="Q80">
        <v>2.0400000000000001E-3</v>
      </c>
      <c r="R80">
        <v>0</v>
      </c>
      <c r="S80">
        <v>0</v>
      </c>
      <c r="T80">
        <v>2.6199999999999999E-3</v>
      </c>
      <c r="U80">
        <v>-4.4400000000000004E-3</v>
      </c>
      <c r="V80">
        <v>-1.6000000000000001E-4</v>
      </c>
      <c r="W80">
        <v>6.4599999999999996E-3</v>
      </c>
      <c r="X80">
        <v>6.4000000000000005E-4</v>
      </c>
      <c r="Y80">
        <v>-1.3999999999999999E-4</v>
      </c>
      <c r="Z80">
        <v>8.5999999999999998E-4</v>
      </c>
      <c r="AA80">
        <v>0</v>
      </c>
      <c r="AB80">
        <v>0</v>
      </c>
      <c r="AC80">
        <v>5.1999999999999995E-4</v>
      </c>
      <c r="AD80">
        <v>1.6000000000000001E-4</v>
      </c>
      <c r="AE80">
        <v>-2.1299999999999999E-3</v>
      </c>
      <c r="AF80">
        <v>2.63E-3</v>
      </c>
      <c r="AG80">
        <v>1E-4</v>
      </c>
      <c r="AH80">
        <v>-6.4999999999999997E-4</v>
      </c>
      <c r="AI80">
        <v>8.4999999999999995E-4</v>
      </c>
    </row>
    <row r="81" spans="1:35" x14ac:dyDescent="0.25">
      <c r="A81" s="1">
        <v>41516</v>
      </c>
      <c r="B81" s="8">
        <v>-1.66E-2</v>
      </c>
      <c r="C81">
        <v>-2.47E-2</v>
      </c>
      <c r="D81">
        <v>-3.1298019033866864E-2</v>
      </c>
      <c r="E81">
        <v>4.4400000000000004E-3</v>
      </c>
      <c r="F81">
        <v>-2.16E-3</v>
      </c>
      <c r="G81">
        <v>-4.0000000000000002E-4</v>
      </c>
      <c r="H81">
        <v>-7.9000000000000001E-4</v>
      </c>
      <c r="I81">
        <v>-3.9199999999999999E-3</v>
      </c>
      <c r="J81">
        <v>-2.5999999999999998E-4</v>
      </c>
      <c r="K81">
        <v>0</v>
      </c>
      <c r="L81">
        <v>1.6100000000000001E-3</v>
      </c>
      <c r="M81">
        <v>-1.3999999999999999E-4</v>
      </c>
      <c r="N81">
        <v>-4.0099999999999997E-3</v>
      </c>
      <c r="O81">
        <v>-2.5200000000000001E-3</v>
      </c>
      <c r="P81">
        <v>-7.9000000000000001E-4</v>
      </c>
      <c r="Q81">
        <v>-3.0300000000000001E-3</v>
      </c>
      <c r="R81" s="2">
        <v>-6.9999999999999994E-5</v>
      </c>
      <c r="S81">
        <v>0</v>
      </c>
      <c r="T81">
        <v>-9.7000000000000005E-4</v>
      </c>
      <c r="U81">
        <v>3.1900000000000001E-3</v>
      </c>
      <c r="V81" s="2">
        <v>2.0000000000000002E-5</v>
      </c>
      <c r="W81">
        <v>5.1000000000000004E-4</v>
      </c>
      <c r="X81">
        <v>6.0999999999999997E-4</v>
      </c>
      <c r="Y81">
        <v>-6.4999999999999997E-4</v>
      </c>
      <c r="Z81">
        <v>-5.8E-4</v>
      </c>
      <c r="AA81">
        <v>0</v>
      </c>
      <c r="AB81">
        <v>0</v>
      </c>
      <c r="AC81">
        <v>-3.1800000000000001E-3</v>
      </c>
      <c r="AD81">
        <v>-7.1000000000000002E-4</v>
      </c>
      <c r="AE81">
        <v>-1.15E-3</v>
      </c>
      <c r="AF81">
        <v>-3.6000000000000002E-4</v>
      </c>
      <c r="AG81">
        <v>-1.9000000000000001E-4</v>
      </c>
      <c r="AH81">
        <v>3.4000000000000002E-4</v>
      </c>
      <c r="AI81">
        <v>-1.4300000000000001E-3</v>
      </c>
    </row>
    <row r="82" spans="1:35" x14ac:dyDescent="0.25">
      <c r="A82" s="1">
        <v>41547</v>
      </c>
      <c r="B82" s="8">
        <v>4.1000000000000002E-2</v>
      </c>
      <c r="C82">
        <v>3.4500000000000003E-2</v>
      </c>
      <c r="D82">
        <v>2.9749523177239112E-2</v>
      </c>
      <c r="E82">
        <v>-1.14E-3</v>
      </c>
      <c r="F82">
        <v>3.62E-3</v>
      </c>
      <c r="G82">
        <v>7.8700000000000003E-3</v>
      </c>
      <c r="H82">
        <v>-5.2999999999999998E-4</v>
      </c>
      <c r="I82">
        <v>2.1900000000000001E-3</v>
      </c>
      <c r="J82">
        <v>6.0999999999999997E-4</v>
      </c>
      <c r="K82">
        <v>0</v>
      </c>
      <c r="L82">
        <v>3.5100000000000001E-3</v>
      </c>
      <c r="M82">
        <v>6.8000000000000005E-4</v>
      </c>
      <c r="N82">
        <v>4.0899999999999999E-3</v>
      </c>
      <c r="O82">
        <v>2.0300000000000001E-3</v>
      </c>
      <c r="P82" s="2">
        <v>4.0000000000000003E-5</v>
      </c>
      <c r="Q82">
        <v>7.5000000000000002E-4</v>
      </c>
      <c r="R82">
        <v>0</v>
      </c>
      <c r="S82">
        <v>0</v>
      </c>
      <c r="T82">
        <v>1.82E-3</v>
      </c>
      <c r="U82">
        <v>-2.0000000000000001E-4</v>
      </c>
      <c r="V82">
        <v>2.1099999999999999E-3</v>
      </c>
      <c r="W82">
        <v>1.8699999999999999E-3</v>
      </c>
      <c r="X82">
        <v>1.24E-3</v>
      </c>
      <c r="Y82">
        <v>4.64E-3</v>
      </c>
      <c r="Z82">
        <v>2.9999999999999997E-4</v>
      </c>
      <c r="AA82">
        <v>0</v>
      </c>
      <c r="AB82">
        <v>0</v>
      </c>
      <c r="AC82">
        <v>6.8000000000000005E-4</v>
      </c>
      <c r="AD82" s="2">
        <v>-1.0000000000000001E-5</v>
      </c>
      <c r="AE82">
        <v>1.1299999999999999E-3</v>
      </c>
      <c r="AF82" s="2">
        <v>5.0000000000000002E-5</v>
      </c>
      <c r="AG82">
        <v>1.8600000000000001E-3</v>
      </c>
      <c r="AH82">
        <v>2.1299999999999999E-3</v>
      </c>
      <c r="AI82">
        <v>-2.9E-4</v>
      </c>
    </row>
    <row r="83" spans="1:35" x14ac:dyDescent="0.25">
      <c r="A83" s="1">
        <v>41578</v>
      </c>
      <c r="B83" s="8">
        <v>6.4699999999999994E-2</v>
      </c>
      <c r="C83">
        <v>5.5500000000000001E-2</v>
      </c>
      <c r="D83">
        <v>4.4595752618006079E-2</v>
      </c>
      <c r="E83">
        <v>5.1399999999999996E-3</v>
      </c>
      <c r="F83">
        <v>5.28E-3</v>
      </c>
      <c r="G83">
        <v>6.6600000000000001E-3</v>
      </c>
      <c r="H83">
        <v>2.9999999999999997E-4</v>
      </c>
      <c r="I83">
        <v>6.1799999999999997E-3</v>
      </c>
      <c r="J83">
        <v>3.8999999999999999E-4</v>
      </c>
      <c r="K83">
        <v>0</v>
      </c>
      <c r="L83">
        <v>4.7000000000000002E-3</v>
      </c>
      <c r="M83">
        <v>1.7000000000000001E-4</v>
      </c>
      <c r="N83">
        <v>4.3200000000000001E-3</v>
      </c>
      <c r="O83">
        <v>4.7000000000000002E-3</v>
      </c>
      <c r="P83">
        <v>7.9000000000000001E-4</v>
      </c>
      <c r="Q83">
        <v>1.3999999999999999E-4</v>
      </c>
      <c r="R83" s="2">
        <v>6.0000000000000002E-5</v>
      </c>
      <c r="S83">
        <v>0</v>
      </c>
      <c r="T83">
        <v>1.91E-3</v>
      </c>
      <c r="U83">
        <v>3.62E-3</v>
      </c>
      <c r="V83">
        <v>5.8E-4</v>
      </c>
      <c r="W83">
        <v>7.43E-3</v>
      </c>
      <c r="X83">
        <v>-5.4000000000000001E-4</v>
      </c>
      <c r="Y83">
        <v>1.8600000000000001E-3</v>
      </c>
      <c r="Z83">
        <v>1.1299999999999999E-3</v>
      </c>
      <c r="AA83">
        <v>0</v>
      </c>
      <c r="AB83">
        <v>0</v>
      </c>
      <c r="AC83">
        <v>1.6299999999999999E-3</v>
      </c>
      <c r="AD83">
        <v>1.4599999999999999E-3</v>
      </c>
      <c r="AE83">
        <v>3.98E-3</v>
      </c>
      <c r="AF83">
        <v>-1.09E-3</v>
      </c>
      <c r="AG83">
        <v>2.0699999999999998E-3</v>
      </c>
      <c r="AH83">
        <v>8.4999999999999995E-4</v>
      </c>
      <c r="AI83">
        <v>9.3999999999999997E-4</v>
      </c>
    </row>
    <row r="84" spans="1:35" x14ac:dyDescent="0.25">
      <c r="A84" s="1">
        <v>41607</v>
      </c>
      <c r="B84" s="8">
        <v>3.39E-2</v>
      </c>
      <c r="C84">
        <v>3.5499999999999997E-2</v>
      </c>
      <c r="D84">
        <v>2.8049471635186451E-2</v>
      </c>
      <c r="E84">
        <v>3.7100000000000002E-3</v>
      </c>
      <c r="F84">
        <v>2.6099999999999999E-3</v>
      </c>
      <c r="G84">
        <v>1.9499999999999999E-3</v>
      </c>
      <c r="H84">
        <v>3.1900000000000001E-3</v>
      </c>
      <c r="I84">
        <v>6.7000000000000002E-4</v>
      </c>
      <c r="J84">
        <v>8.7000000000000001E-4</v>
      </c>
      <c r="K84">
        <v>0</v>
      </c>
      <c r="L84">
        <v>-5.1999999999999995E-4</v>
      </c>
      <c r="M84">
        <v>1.4999999999999999E-4</v>
      </c>
      <c r="N84">
        <v>1.9300000000000001E-3</v>
      </c>
      <c r="O84">
        <v>9.8999999999999999E-4</v>
      </c>
      <c r="P84">
        <v>3.4000000000000002E-4</v>
      </c>
      <c r="Q84">
        <v>3.5799999999999998E-3</v>
      </c>
      <c r="R84" s="2">
        <v>3.0000000000000001E-5</v>
      </c>
      <c r="S84">
        <v>0</v>
      </c>
      <c r="T84">
        <v>2.33E-3</v>
      </c>
      <c r="U84">
        <v>4.81E-3</v>
      </c>
      <c r="V84">
        <v>5.9999999999999995E-4</v>
      </c>
      <c r="W84">
        <v>3.1099999999999999E-3</v>
      </c>
      <c r="X84">
        <v>7.3999999999999999E-4</v>
      </c>
      <c r="Y84">
        <v>-8.0000000000000004E-4</v>
      </c>
      <c r="Z84">
        <v>6.8999999999999997E-4</v>
      </c>
      <c r="AA84">
        <v>0</v>
      </c>
      <c r="AB84">
        <v>0</v>
      </c>
      <c r="AC84">
        <v>-8.7000000000000001E-4</v>
      </c>
      <c r="AD84">
        <v>-4.8000000000000001E-4</v>
      </c>
      <c r="AE84">
        <v>-1.72E-3</v>
      </c>
      <c r="AF84">
        <v>2.1299999999999999E-3</v>
      </c>
      <c r="AG84">
        <v>1.33E-3</v>
      </c>
      <c r="AH84">
        <v>1.34E-3</v>
      </c>
      <c r="AI84">
        <v>1.1299999999999999E-3</v>
      </c>
    </row>
    <row r="85" spans="1:35" x14ac:dyDescent="0.25">
      <c r="A85" s="1">
        <v>41639</v>
      </c>
      <c r="B85" s="8">
        <v>2.24E-2</v>
      </c>
      <c r="C85">
        <v>1.54E-2</v>
      </c>
      <c r="D85">
        <v>2.356279155049279E-2</v>
      </c>
      <c r="E85">
        <v>4.6999999999999999E-4</v>
      </c>
      <c r="F85">
        <v>4.2000000000000002E-4</v>
      </c>
      <c r="G85">
        <v>1E-3</v>
      </c>
      <c r="H85">
        <v>-3.6999999999999999E-4</v>
      </c>
      <c r="I85">
        <v>2.5100000000000001E-3</v>
      </c>
      <c r="J85">
        <v>4.2900000000000004E-3</v>
      </c>
      <c r="K85">
        <v>0</v>
      </c>
      <c r="L85">
        <v>-2.14E-3</v>
      </c>
      <c r="M85" s="2">
        <v>4.0000000000000003E-5</v>
      </c>
      <c r="N85">
        <v>6.4700000000000001E-3</v>
      </c>
      <c r="O85">
        <v>2.98E-3</v>
      </c>
      <c r="P85">
        <v>-3.6999999999999999E-4</v>
      </c>
      <c r="Q85">
        <v>7.2000000000000005E-4</v>
      </c>
      <c r="R85" s="2">
        <v>4.0000000000000003E-5</v>
      </c>
      <c r="S85">
        <v>0</v>
      </c>
      <c r="T85">
        <v>1.7899999999999999E-3</v>
      </c>
      <c r="U85">
        <v>-1.07E-3</v>
      </c>
      <c r="V85" s="2">
        <v>-4.0000000000000003E-5</v>
      </c>
      <c r="W85">
        <v>9.8999999999999999E-4</v>
      </c>
      <c r="X85">
        <v>6.0999999999999997E-4</v>
      </c>
      <c r="Y85">
        <v>5.5999999999999995E-4</v>
      </c>
      <c r="Z85">
        <v>-5.6999999999999998E-4</v>
      </c>
      <c r="AA85">
        <v>0</v>
      </c>
      <c r="AB85">
        <v>0</v>
      </c>
      <c r="AC85">
        <v>5.9000000000000003E-4</v>
      </c>
      <c r="AD85" s="2">
        <v>-2.0000000000000002E-5</v>
      </c>
      <c r="AE85">
        <v>-7.6000000000000004E-4</v>
      </c>
      <c r="AF85">
        <v>3.5E-4</v>
      </c>
      <c r="AG85">
        <v>7.2999999999999996E-4</v>
      </c>
      <c r="AH85">
        <v>1.3699999999999999E-3</v>
      </c>
      <c r="AI85">
        <v>1.8600000000000001E-3</v>
      </c>
    </row>
    <row r="86" spans="1:35" x14ac:dyDescent="0.25">
      <c r="A86" s="1">
        <v>41670</v>
      </c>
      <c r="B86" s="8">
        <v>-3.9899999999999998E-2</v>
      </c>
      <c r="C86">
        <v>-3.7999999999999999E-2</v>
      </c>
      <c r="D86">
        <v>-3.5582905675162646E-2</v>
      </c>
      <c r="E86">
        <v>-6.8000000000000005E-4</v>
      </c>
      <c r="F86">
        <v>-9.7000000000000005E-4</v>
      </c>
      <c r="G86">
        <v>-4.4299999999999999E-3</v>
      </c>
      <c r="H86">
        <v>3.2399999999999998E-3</v>
      </c>
      <c r="I86">
        <v>-4.3699999999999998E-3</v>
      </c>
      <c r="J86">
        <v>3.1800000000000001E-3</v>
      </c>
      <c r="K86">
        <v>0</v>
      </c>
      <c r="L86">
        <v>-5.2399999999999999E-3</v>
      </c>
      <c r="M86">
        <v>0</v>
      </c>
      <c r="N86">
        <v>-4.7200000000000002E-3</v>
      </c>
      <c r="O86">
        <v>-8.8100000000000001E-3</v>
      </c>
      <c r="P86">
        <v>0</v>
      </c>
      <c r="Q86">
        <v>-3.7599999999999999E-3</v>
      </c>
      <c r="R86">
        <v>0</v>
      </c>
      <c r="S86">
        <v>0</v>
      </c>
      <c r="T86">
        <v>-5.9699999999999996E-3</v>
      </c>
      <c r="U86">
        <v>3.8000000000000002E-4</v>
      </c>
      <c r="V86">
        <v>-1.74E-3</v>
      </c>
      <c r="W86">
        <v>4.6000000000000001E-4</v>
      </c>
      <c r="X86">
        <v>-4.8000000000000001E-4</v>
      </c>
      <c r="Y86">
        <v>-5.6299999999999996E-3</v>
      </c>
      <c r="Z86">
        <v>-1.1E-4</v>
      </c>
      <c r="AA86">
        <v>0</v>
      </c>
      <c r="AB86">
        <v>0</v>
      </c>
      <c r="AC86">
        <v>5.8E-4</v>
      </c>
      <c r="AD86">
        <v>0</v>
      </c>
      <c r="AE86">
        <v>-6.8999999999999997E-4</v>
      </c>
      <c r="AF86">
        <v>0</v>
      </c>
      <c r="AG86">
        <v>-1.39E-3</v>
      </c>
      <c r="AH86">
        <v>1.34E-3</v>
      </c>
      <c r="AI86" s="2">
        <v>-6.0000000000000002E-5</v>
      </c>
    </row>
    <row r="87" spans="1:35" x14ac:dyDescent="0.25">
      <c r="A87" s="1">
        <v>41698</v>
      </c>
      <c r="B87" s="8">
        <v>5.1400000000000001E-2</v>
      </c>
      <c r="C87">
        <v>4.4600000000000001E-2</v>
      </c>
      <c r="D87">
        <v>4.3117029976595278E-2</v>
      </c>
      <c r="E87">
        <v>3.6000000000000002E-4</v>
      </c>
      <c r="F87" s="2">
        <v>9.0000000000000006E-5</v>
      </c>
      <c r="G87">
        <v>1.89E-3</v>
      </c>
      <c r="H87">
        <v>-5.5999999999999995E-4</v>
      </c>
      <c r="I87">
        <v>1.2600000000000001E-3</v>
      </c>
      <c r="J87">
        <v>2.5400000000000002E-3</v>
      </c>
      <c r="K87">
        <v>0</v>
      </c>
      <c r="L87">
        <v>2.2399999999999998E-3</v>
      </c>
      <c r="M87">
        <v>0</v>
      </c>
      <c r="N87">
        <v>1.0749999999999999E-2</v>
      </c>
      <c r="O87">
        <v>1.9E-3</v>
      </c>
      <c r="P87">
        <v>0</v>
      </c>
      <c r="Q87">
        <v>2.1199999999999999E-3</v>
      </c>
      <c r="R87">
        <v>0</v>
      </c>
      <c r="S87">
        <v>0</v>
      </c>
      <c r="T87">
        <v>4.0000000000000001E-3</v>
      </c>
      <c r="U87">
        <v>6.6E-4</v>
      </c>
      <c r="V87">
        <v>1.8500000000000001E-3</v>
      </c>
      <c r="W87">
        <v>2.97E-3</v>
      </c>
      <c r="X87">
        <v>4.2300000000000003E-3</v>
      </c>
      <c r="Y87">
        <v>7.2700000000000004E-3</v>
      </c>
      <c r="Z87">
        <v>9.1E-4</v>
      </c>
      <c r="AA87">
        <v>0</v>
      </c>
      <c r="AB87">
        <v>0</v>
      </c>
      <c r="AC87">
        <v>1.6299999999999999E-3</v>
      </c>
      <c r="AD87">
        <v>0</v>
      </c>
      <c r="AE87">
        <v>1.56E-3</v>
      </c>
      <c r="AF87">
        <v>0</v>
      </c>
      <c r="AG87">
        <v>1.9000000000000001E-4</v>
      </c>
      <c r="AH87">
        <v>3.49E-3</v>
      </c>
      <c r="AI87" s="2">
        <v>4.0000000000000003E-5</v>
      </c>
    </row>
    <row r="88" spans="1:35" x14ac:dyDescent="0.25">
      <c r="A88" s="1">
        <v>41729</v>
      </c>
      <c r="B88" s="8">
        <v>1.89E-2</v>
      </c>
      <c r="C88">
        <v>2.2599999999999999E-2</v>
      </c>
      <c r="D88">
        <v>6.9321656079357474E-3</v>
      </c>
      <c r="E88">
        <v>1.2999999999999999E-4</v>
      </c>
      <c r="F88">
        <v>-6.8000000000000005E-4</v>
      </c>
      <c r="G88">
        <v>-1.4300000000000001E-3</v>
      </c>
      <c r="H88">
        <v>1.7600000000000001E-3</v>
      </c>
      <c r="I88">
        <v>3.2799999999999999E-3</v>
      </c>
      <c r="J88">
        <v>1.9300000000000001E-3</v>
      </c>
      <c r="K88">
        <v>0</v>
      </c>
      <c r="L88">
        <v>3.7599999999999999E-3</v>
      </c>
      <c r="M88">
        <v>0</v>
      </c>
      <c r="N88">
        <v>-8.7000000000000001E-4</v>
      </c>
      <c r="O88">
        <v>1.4E-3</v>
      </c>
      <c r="P88">
        <v>0</v>
      </c>
      <c r="Q88">
        <v>5.4900000000000001E-3</v>
      </c>
      <c r="R88">
        <v>0</v>
      </c>
      <c r="S88">
        <v>0</v>
      </c>
      <c r="T88">
        <v>4.8000000000000001E-4</v>
      </c>
      <c r="U88">
        <v>2.32E-3</v>
      </c>
      <c r="V88">
        <v>-1.34E-3</v>
      </c>
      <c r="W88">
        <v>1.1000000000000001E-3</v>
      </c>
      <c r="X88">
        <v>-6.0999999999999997E-4</v>
      </c>
      <c r="Y88">
        <v>-3.8000000000000002E-4</v>
      </c>
      <c r="Z88">
        <v>0</v>
      </c>
      <c r="AA88">
        <v>0</v>
      </c>
      <c r="AB88">
        <v>0</v>
      </c>
      <c r="AC88">
        <v>5.5000000000000003E-4</v>
      </c>
      <c r="AD88">
        <v>0</v>
      </c>
      <c r="AE88">
        <v>2.48E-3</v>
      </c>
      <c r="AF88">
        <v>0</v>
      </c>
      <c r="AG88">
        <v>2.5000000000000001E-4</v>
      </c>
      <c r="AH88">
        <v>-7.5000000000000002E-4</v>
      </c>
      <c r="AI88" s="2">
        <v>1.0000000000000001E-5</v>
      </c>
    </row>
    <row r="89" spans="1:35" x14ac:dyDescent="0.25">
      <c r="A89" s="1">
        <v>41759</v>
      </c>
      <c r="B89" s="8">
        <v>-1E-4</v>
      </c>
      <c r="C89">
        <v>7.7999999999999996E-3</v>
      </c>
      <c r="D89">
        <v>6.2007889650528281E-3</v>
      </c>
      <c r="E89">
        <v>6.3000000000000003E-4</v>
      </c>
      <c r="F89">
        <v>-9.2000000000000003E-4</v>
      </c>
      <c r="G89">
        <v>1.5100000000000001E-3</v>
      </c>
      <c r="H89">
        <v>-5.13E-3</v>
      </c>
      <c r="I89">
        <v>-3.7100000000000002E-3</v>
      </c>
      <c r="J89">
        <v>5.1999999999999998E-3</v>
      </c>
      <c r="K89">
        <v>0</v>
      </c>
      <c r="L89">
        <v>3.6600000000000001E-3</v>
      </c>
      <c r="M89">
        <v>0</v>
      </c>
      <c r="N89">
        <v>-8.7000000000000001E-4</v>
      </c>
      <c r="O89">
        <v>3.29E-3</v>
      </c>
      <c r="P89">
        <v>0</v>
      </c>
      <c r="Q89">
        <v>-5.7499999999999999E-3</v>
      </c>
      <c r="R89">
        <v>0</v>
      </c>
      <c r="S89">
        <v>0</v>
      </c>
      <c r="T89">
        <v>1.75E-3</v>
      </c>
      <c r="U89">
        <v>-4.8000000000000001E-4</v>
      </c>
      <c r="V89">
        <v>-2.9E-4</v>
      </c>
      <c r="W89">
        <v>-8.4999999999999995E-4</v>
      </c>
      <c r="X89">
        <v>7.5000000000000002E-4</v>
      </c>
      <c r="Y89">
        <v>3.4000000000000002E-4</v>
      </c>
      <c r="Z89">
        <v>-3.6999999999999999E-4</v>
      </c>
      <c r="AA89">
        <v>0</v>
      </c>
      <c r="AB89">
        <v>0</v>
      </c>
      <c r="AC89">
        <v>1.83E-3</v>
      </c>
      <c r="AD89">
        <v>0</v>
      </c>
      <c r="AE89" s="2">
        <v>9.0000000000000006E-5</v>
      </c>
      <c r="AF89">
        <v>0</v>
      </c>
      <c r="AG89">
        <v>1.7000000000000001E-4</v>
      </c>
      <c r="AH89">
        <v>-1E-3</v>
      </c>
      <c r="AI89" s="2">
        <v>3.0000000000000001E-5</v>
      </c>
    </row>
    <row r="90" spans="1:35" x14ac:dyDescent="0.25">
      <c r="A90" s="1">
        <v>41789</v>
      </c>
      <c r="B90" s="8">
        <v>2.0799999999999999E-2</v>
      </c>
      <c r="C90">
        <v>1.49E-2</v>
      </c>
      <c r="D90">
        <v>2.1030280012996005E-2</v>
      </c>
      <c r="E90">
        <v>4.8999999999999998E-4</v>
      </c>
      <c r="F90">
        <v>2.7E-4</v>
      </c>
      <c r="G90">
        <v>2.8999999999999998E-3</v>
      </c>
      <c r="H90">
        <v>0</v>
      </c>
      <c r="I90">
        <v>1.1199999999999999E-3</v>
      </c>
      <c r="J90">
        <v>-2.3500000000000001E-3</v>
      </c>
      <c r="K90">
        <v>0</v>
      </c>
      <c r="L90">
        <v>5.5300000000000002E-3</v>
      </c>
      <c r="M90">
        <v>0</v>
      </c>
      <c r="N90">
        <v>5.5999999999999999E-3</v>
      </c>
      <c r="O90">
        <v>-3.2000000000000003E-4</v>
      </c>
      <c r="P90">
        <v>0</v>
      </c>
      <c r="Q90">
        <v>-5.9000000000000003E-4</v>
      </c>
      <c r="R90">
        <v>0</v>
      </c>
      <c r="S90">
        <v>0</v>
      </c>
      <c r="T90">
        <v>2.15E-3</v>
      </c>
      <c r="U90">
        <v>6.7000000000000002E-4</v>
      </c>
      <c r="V90">
        <v>1.3600000000000001E-3</v>
      </c>
      <c r="W90">
        <v>3.4000000000000002E-4</v>
      </c>
      <c r="X90">
        <v>8.0000000000000004E-4</v>
      </c>
      <c r="Y90">
        <v>2.9299999999999999E-3</v>
      </c>
      <c r="Z90">
        <v>-6.2E-4</v>
      </c>
      <c r="AA90">
        <v>0</v>
      </c>
      <c r="AB90">
        <v>0</v>
      </c>
      <c r="AC90">
        <v>9.3000000000000005E-4</v>
      </c>
      <c r="AD90">
        <v>0</v>
      </c>
      <c r="AE90">
        <v>5.2999999999999998E-4</v>
      </c>
      <c r="AF90">
        <v>0</v>
      </c>
      <c r="AG90">
        <v>9.1E-4</v>
      </c>
      <c r="AH90">
        <v>-1.8799999999999999E-3</v>
      </c>
      <c r="AI90" s="2">
        <v>-1.0000000000000001E-5</v>
      </c>
    </row>
    <row r="91" spans="1:35" x14ac:dyDescent="0.25">
      <c r="A91" s="1">
        <v>41820</v>
      </c>
      <c r="B91" s="8">
        <v>2.1000000000000001E-2</v>
      </c>
      <c r="C91">
        <v>1.6199999999999999E-2</v>
      </c>
      <c r="D91">
        <v>1.9058331658920569E-2</v>
      </c>
      <c r="E91">
        <v>1.7000000000000001E-4</v>
      </c>
      <c r="F91">
        <v>3.8000000000000002E-4</v>
      </c>
      <c r="G91">
        <v>-3.1900000000000001E-3</v>
      </c>
      <c r="H91">
        <v>6.8000000000000005E-4</v>
      </c>
      <c r="I91">
        <v>4.7200000000000002E-3</v>
      </c>
      <c r="J91">
        <v>4.9100000000000003E-3</v>
      </c>
      <c r="K91">
        <v>0</v>
      </c>
      <c r="L91">
        <v>4.7099999999999998E-3</v>
      </c>
      <c r="M91">
        <v>0</v>
      </c>
      <c r="N91">
        <v>1.9599999999999999E-3</v>
      </c>
      <c r="O91">
        <v>-9.2000000000000003E-4</v>
      </c>
      <c r="P91">
        <v>0</v>
      </c>
      <c r="Q91">
        <v>2.96E-3</v>
      </c>
      <c r="R91">
        <v>0</v>
      </c>
      <c r="S91">
        <v>0</v>
      </c>
      <c r="T91">
        <v>3.4000000000000002E-4</v>
      </c>
      <c r="U91">
        <v>6.0999999999999997E-4</v>
      </c>
      <c r="V91">
        <v>2.0000000000000001E-4</v>
      </c>
      <c r="W91">
        <v>-8.8999999999999995E-4</v>
      </c>
      <c r="X91">
        <v>-5.8E-4</v>
      </c>
      <c r="Y91">
        <v>2.6099999999999999E-3</v>
      </c>
      <c r="Z91" s="2">
        <v>2.0000000000000002E-5</v>
      </c>
      <c r="AA91">
        <v>0</v>
      </c>
      <c r="AB91">
        <v>0</v>
      </c>
      <c r="AC91" s="2">
        <v>-4.0000000000000003E-5</v>
      </c>
      <c r="AD91">
        <v>0</v>
      </c>
      <c r="AE91">
        <v>9.3000000000000005E-4</v>
      </c>
      <c r="AF91">
        <v>0</v>
      </c>
      <c r="AG91">
        <v>-1.7000000000000001E-4</v>
      </c>
      <c r="AH91">
        <v>1.57E-3</v>
      </c>
      <c r="AI91">
        <v>0</v>
      </c>
    </row>
    <row r="92" spans="1:35" x14ac:dyDescent="0.25">
      <c r="A92" s="1">
        <v>41851</v>
      </c>
      <c r="B92" s="8">
        <v>-2.2599999999999999E-2</v>
      </c>
      <c r="C92">
        <v>-2.4799999999999999E-2</v>
      </c>
      <c r="D92">
        <v>-1.5079830581919862E-2</v>
      </c>
      <c r="E92">
        <v>1.8000000000000001E-4</v>
      </c>
      <c r="F92">
        <v>-3.5E-4</v>
      </c>
      <c r="G92">
        <v>-2.8500000000000001E-3</v>
      </c>
      <c r="H92">
        <v>-3.3E-4</v>
      </c>
      <c r="I92">
        <v>-4.0200000000000001E-3</v>
      </c>
      <c r="J92">
        <v>-5.1799999999999997E-3</v>
      </c>
      <c r="K92">
        <v>0</v>
      </c>
      <c r="L92">
        <v>-1.9E-3</v>
      </c>
      <c r="M92">
        <v>0</v>
      </c>
      <c r="N92">
        <v>1.6000000000000001E-4</v>
      </c>
      <c r="O92">
        <v>-3.6600000000000001E-3</v>
      </c>
      <c r="P92">
        <v>0</v>
      </c>
      <c r="Q92">
        <v>6.3000000000000003E-4</v>
      </c>
      <c r="R92">
        <v>0</v>
      </c>
      <c r="S92">
        <v>0</v>
      </c>
      <c r="T92">
        <v>-1.14E-3</v>
      </c>
      <c r="U92">
        <v>1.16E-3</v>
      </c>
      <c r="V92">
        <v>-1.2999999999999999E-4</v>
      </c>
      <c r="W92">
        <v>1.72E-3</v>
      </c>
      <c r="X92">
        <v>-1.3500000000000001E-3</v>
      </c>
      <c r="Y92">
        <v>-3.4099999999999998E-3</v>
      </c>
      <c r="Z92">
        <v>-3.4000000000000002E-4</v>
      </c>
      <c r="AA92">
        <v>0</v>
      </c>
      <c r="AB92">
        <v>0</v>
      </c>
      <c r="AC92">
        <v>3.8000000000000002E-4</v>
      </c>
      <c r="AD92">
        <v>0</v>
      </c>
      <c r="AE92">
        <v>-9.6000000000000002E-4</v>
      </c>
      <c r="AF92">
        <v>0</v>
      </c>
      <c r="AG92">
        <v>-8.0000000000000004E-4</v>
      </c>
      <c r="AH92">
        <v>-3.4000000000000002E-4</v>
      </c>
      <c r="AI92" s="2">
        <v>-1.0000000000000001E-5</v>
      </c>
    </row>
    <row r="93" spans="1:35" x14ac:dyDescent="0.25">
      <c r="A93" s="1">
        <v>41880</v>
      </c>
      <c r="B93" s="8">
        <v>4.5900000000000003E-2</v>
      </c>
      <c r="C93">
        <v>4.2200000000000001E-2</v>
      </c>
      <c r="D93">
        <v>3.7655295489735119E-2</v>
      </c>
      <c r="E93">
        <v>4.8999999999999998E-4</v>
      </c>
      <c r="F93">
        <v>8.0000000000000004E-4</v>
      </c>
      <c r="G93">
        <v>3.15E-3</v>
      </c>
      <c r="H93">
        <v>2.3600000000000001E-3</v>
      </c>
      <c r="I93">
        <v>7.8700000000000003E-3</v>
      </c>
      <c r="J93">
        <v>6.4400000000000004E-3</v>
      </c>
      <c r="K93">
        <v>0</v>
      </c>
      <c r="L93">
        <v>-1.01E-3</v>
      </c>
      <c r="M93">
        <v>0</v>
      </c>
      <c r="N93">
        <v>4.4299999999999999E-3</v>
      </c>
      <c r="O93">
        <v>2.81E-3</v>
      </c>
      <c r="P93">
        <v>0</v>
      </c>
      <c r="Q93">
        <v>2.48E-3</v>
      </c>
      <c r="R93">
        <v>0</v>
      </c>
      <c r="S93">
        <v>0</v>
      </c>
      <c r="T93">
        <v>1.9499999999999999E-3</v>
      </c>
      <c r="U93">
        <v>1.9599999999999999E-3</v>
      </c>
      <c r="V93">
        <v>5.1000000000000004E-4</v>
      </c>
      <c r="W93">
        <v>2.1299999999999999E-3</v>
      </c>
      <c r="X93">
        <v>2.7899999999999999E-3</v>
      </c>
      <c r="Y93">
        <v>4.3800000000000002E-3</v>
      </c>
      <c r="Z93">
        <v>3.4000000000000002E-4</v>
      </c>
      <c r="AA93">
        <v>0</v>
      </c>
      <c r="AB93">
        <v>0</v>
      </c>
      <c r="AC93">
        <v>6.0999999999999997E-4</v>
      </c>
      <c r="AD93">
        <v>0</v>
      </c>
      <c r="AE93">
        <v>1.08E-3</v>
      </c>
      <c r="AF93">
        <v>0</v>
      </c>
      <c r="AG93">
        <v>1.3999999999999999E-4</v>
      </c>
      <c r="AH93">
        <v>1.7000000000000001E-4</v>
      </c>
      <c r="AI93" s="2">
        <v>1.0000000000000001E-5</v>
      </c>
    </row>
    <row r="94" spans="1:35" x14ac:dyDescent="0.25">
      <c r="A94" s="1">
        <v>41912</v>
      </c>
      <c r="B94" s="8">
        <v>-1.4E-2</v>
      </c>
      <c r="C94">
        <v>-6.4000000000000003E-3</v>
      </c>
      <c r="D94">
        <v>-1.5513837223063764E-2</v>
      </c>
      <c r="E94">
        <v>-1.1E-4</v>
      </c>
      <c r="F94">
        <v>-4.6999999999999999E-4</v>
      </c>
      <c r="G94">
        <v>2.5000000000000001E-4</v>
      </c>
      <c r="H94">
        <v>2.6900000000000001E-3</v>
      </c>
      <c r="I94">
        <v>-5.8E-4</v>
      </c>
      <c r="J94">
        <v>-7.1799999999999998E-3</v>
      </c>
      <c r="K94">
        <v>0</v>
      </c>
      <c r="L94">
        <v>-3.7599999999999999E-3</v>
      </c>
      <c r="M94">
        <v>0</v>
      </c>
      <c r="N94">
        <v>-8.9999999999999998E-4</v>
      </c>
      <c r="O94">
        <v>-4.6000000000000001E-4</v>
      </c>
      <c r="P94">
        <v>0</v>
      </c>
      <c r="Q94">
        <v>1.07E-3</v>
      </c>
      <c r="R94">
        <v>0</v>
      </c>
      <c r="S94">
        <v>0</v>
      </c>
      <c r="T94">
        <v>-1.1199999999999999E-3</v>
      </c>
      <c r="U94">
        <v>6.8000000000000005E-4</v>
      </c>
      <c r="V94">
        <v>3.2100000000000002E-3</v>
      </c>
      <c r="W94">
        <v>2.0100000000000001E-3</v>
      </c>
      <c r="X94">
        <v>-1.23E-3</v>
      </c>
      <c r="Y94">
        <v>-4.7000000000000002E-3</v>
      </c>
      <c r="Z94" s="2">
        <v>9.0000000000000006E-5</v>
      </c>
      <c r="AA94">
        <v>0</v>
      </c>
      <c r="AB94">
        <v>0</v>
      </c>
      <c r="AC94">
        <v>-1.08E-3</v>
      </c>
      <c r="AD94">
        <v>0</v>
      </c>
      <c r="AE94">
        <v>-8.3000000000000001E-4</v>
      </c>
      <c r="AF94">
        <v>0</v>
      </c>
      <c r="AG94">
        <v>1.4999999999999999E-4</v>
      </c>
      <c r="AH94">
        <v>-1.7099999999999999E-3</v>
      </c>
      <c r="AI94" s="2">
        <v>-4.0000000000000003E-5</v>
      </c>
    </row>
    <row r="95" spans="1:35" x14ac:dyDescent="0.25">
      <c r="A95" s="1">
        <v>41943</v>
      </c>
      <c r="B95" s="8">
        <v>1.9E-2</v>
      </c>
      <c r="C95">
        <v>2.6800000000000001E-2</v>
      </c>
      <c r="D95">
        <v>2.3201460786772321E-2</v>
      </c>
      <c r="E95">
        <v>4.4999999999999999E-4</v>
      </c>
      <c r="F95">
        <v>-5.1000000000000004E-4</v>
      </c>
      <c r="G95">
        <v>-1.0399999999999999E-3</v>
      </c>
      <c r="H95">
        <v>2.7999999999999998E-4</v>
      </c>
      <c r="I95">
        <v>3.3700000000000002E-3</v>
      </c>
      <c r="J95">
        <v>2.4299999999999999E-3</v>
      </c>
      <c r="K95">
        <v>0</v>
      </c>
      <c r="L95">
        <v>-3.0899999999999999E-3</v>
      </c>
      <c r="M95">
        <v>0</v>
      </c>
      <c r="N95">
        <v>2.5100000000000001E-3</v>
      </c>
      <c r="O95">
        <v>6.3000000000000003E-4</v>
      </c>
      <c r="P95">
        <v>0</v>
      </c>
      <c r="Q95">
        <v>8.4999999999999995E-4</v>
      </c>
      <c r="R95">
        <v>0</v>
      </c>
      <c r="S95">
        <v>0</v>
      </c>
      <c r="T95">
        <v>5.9199999999999999E-3</v>
      </c>
      <c r="U95">
        <v>4.2000000000000002E-4</v>
      </c>
      <c r="V95">
        <v>1E-3</v>
      </c>
      <c r="W95">
        <v>2.65E-3</v>
      </c>
      <c r="X95">
        <v>1.42E-3</v>
      </c>
      <c r="Y95">
        <v>-5.3400000000000001E-3</v>
      </c>
      <c r="Z95">
        <v>1.8000000000000001E-4</v>
      </c>
      <c r="AA95">
        <v>0</v>
      </c>
      <c r="AB95">
        <v>0</v>
      </c>
      <c r="AC95">
        <v>2.9399999999999999E-3</v>
      </c>
      <c r="AD95">
        <v>0</v>
      </c>
      <c r="AE95">
        <v>2.0999999999999999E-3</v>
      </c>
      <c r="AF95">
        <v>0</v>
      </c>
      <c r="AG95">
        <v>1E-3</v>
      </c>
      <c r="AH95">
        <v>8.4999999999999995E-4</v>
      </c>
      <c r="AI95" s="2">
        <v>2.0000000000000002E-5</v>
      </c>
    </row>
    <row r="96" spans="1:35" x14ac:dyDescent="0.25">
      <c r="A96" s="1">
        <v>41971</v>
      </c>
      <c r="B96" s="8">
        <v>1.49E-2</v>
      </c>
      <c r="C96">
        <v>3.0099999999999998E-2</v>
      </c>
      <c r="D96">
        <v>2.4533588760364822E-2</v>
      </c>
      <c r="E96">
        <v>6.7000000000000002E-4</v>
      </c>
      <c r="F96">
        <v>1.0399999999999999E-3</v>
      </c>
      <c r="G96">
        <v>4.3800000000000002E-3</v>
      </c>
      <c r="H96">
        <v>-2.9999999999999997E-4</v>
      </c>
      <c r="I96">
        <v>4.5599999999999998E-3</v>
      </c>
      <c r="J96">
        <v>-6.2E-4</v>
      </c>
      <c r="K96">
        <v>0</v>
      </c>
      <c r="L96">
        <v>-5.4799999999999996E-3</v>
      </c>
      <c r="M96">
        <v>0</v>
      </c>
      <c r="N96">
        <v>1.1800000000000001E-3</v>
      </c>
      <c r="O96">
        <v>2.2399999999999998E-3</v>
      </c>
      <c r="P96">
        <v>0</v>
      </c>
      <c r="Q96">
        <v>-4.2000000000000002E-4</v>
      </c>
      <c r="R96">
        <v>0</v>
      </c>
      <c r="S96">
        <v>0</v>
      </c>
      <c r="T96">
        <v>3.2399999999999998E-3</v>
      </c>
      <c r="U96">
        <v>8.1999999999999998E-4</v>
      </c>
      <c r="V96">
        <v>1.6100000000000001E-3</v>
      </c>
      <c r="W96">
        <v>1.5E-3</v>
      </c>
      <c r="X96">
        <v>1.8600000000000001E-3</v>
      </c>
      <c r="Y96">
        <v>-7.3200000000000001E-3</v>
      </c>
      <c r="Z96">
        <v>6.8000000000000005E-4</v>
      </c>
      <c r="AA96">
        <v>0</v>
      </c>
      <c r="AB96">
        <v>0</v>
      </c>
      <c r="AC96">
        <v>5.2999999999999998E-4</v>
      </c>
      <c r="AD96">
        <v>0</v>
      </c>
      <c r="AE96">
        <v>1.5100000000000001E-3</v>
      </c>
      <c r="AF96">
        <v>0</v>
      </c>
      <c r="AG96">
        <v>8.0000000000000004E-4</v>
      </c>
      <c r="AH96">
        <v>2.49E-3</v>
      </c>
      <c r="AI96" s="2">
        <v>-4.0000000000000003E-5</v>
      </c>
    </row>
    <row r="97" spans="1:35" x14ac:dyDescent="0.25">
      <c r="A97" s="1">
        <v>42004</v>
      </c>
      <c r="B97" s="8">
        <v>3.2000000000000002E-3</v>
      </c>
      <c r="C97">
        <v>-5.7999999999999996E-3</v>
      </c>
      <c r="D97">
        <v>-4.1885878779204244E-3</v>
      </c>
      <c r="E97">
        <v>-4.4999999999999999E-4</v>
      </c>
      <c r="F97">
        <v>-8.0000000000000004E-4</v>
      </c>
      <c r="G97">
        <v>-1.75E-3</v>
      </c>
      <c r="H97">
        <v>2.2599999999999999E-3</v>
      </c>
      <c r="I97">
        <v>1E-4</v>
      </c>
      <c r="J97">
        <v>-7.0299999999999998E-3</v>
      </c>
      <c r="K97">
        <v>0</v>
      </c>
      <c r="L97">
        <v>2.9399999999999999E-3</v>
      </c>
      <c r="M97">
        <v>0</v>
      </c>
      <c r="N97">
        <v>2.9099999999999998E-3</v>
      </c>
      <c r="O97">
        <v>-3.1800000000000001E-3</v>
      </c>
      <c r="P97">
        <v>0</v>
      </c>
      <c r="Q97">
        <v>3.2299999999999998E-3</v>
      </c>
      <c r="R97">
        <v>0</v>
      </c>
      <c r="S97">
        <v>0</v>
      </c>
      <c r="T97">
        <v>1.83E-3</v>
      </c>
      <c r="U97">
        <v>-9.3999999999999997E-4</v>
      </c>
      <c r="V97">
        <v>-6.8000000000000005E-4</v>
      </c>
      <c r="W97">
        <v>2.5899999999999999E-3</v>
      </c>
      <c r="X97">
        <v>-1.0499999999999999E-3</v>
      </c>
      <c r="Y97">
        <v>4.0800000000000003E-3</v>
      </c>
      <c r="Z97">
        <v>0</v>
      </c>
      <c r="AA97">
        <v>0</v>
      </c>
      <c r="AB97">
        <v>0</v>
      </c>
      <c r="AC97">
        <v>2.4000000000000001E-4</v>
      </c>
      <c r="AD97">
        <v>0</v>
      </c>
      <c r="AE97">
        <v>-1.07E-3</v>
      </c>
      <c r="AF97">
        <v>0</v>
      </c>
      <c r="AG97">
        <v>1.7000000000000001E-4</v>
      </c>
      <c r="AH97">
        <v>-1.9000000000000001E-4</v>
      </c>
      <c r="AI97" s="2">
        <v>1.0000000000000001E-5</v>
      </c>
    </row>
    <row r="98" spans="1:35" x14ac:dyDescent="0.25">
      <c r="A98" s="1">
        <v>42034</v>
      </c>
      <c r="B98" s="8">
        <v>-5.9799999999999999E-2</v>
      </c>
      <c r="C98">
        <v>-1.7399999999999999E-2</v>
      </c>
      <c r="D98">
        <v>-3.1040805790470194E-2</v>
      </c>
      <c r="E98">
        <v>0</v>
      </c>
      <c r="F98">
        <v>0</v>
      </c>
      <c r="G98">
        <v>0</v>
      </c>
      <c r="H98">
        <v>-1.532E-2</v>
      </c>
      <c r="I98">
        <v>-4.7699999999999999E-3</v>
      </c>
      <c r="J98">
        <v>-1.1860000000000001E-2</v>
      </c>
      <c r="K98">
        <v>0</v>
      </c>
      <c r="L98">
        <v>-8.8000000000000005E-3</v>
      </c>
      <c r="M98">
        <v>0</v>
      </c>
      <c r="N98">
        <v>-3.4299999999999999E-3</v>
      </c>
      <c r="O98">
        <v>-5.4599999999999996E-3</v>
      </c>
      <c r="P98">
        <v>0</v>
      </c>
      <c r="Q98">
        <v>-1.2460000000000001E-2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-4.2100000000000002E-3</v>
      </c>
      <c r="Y98">
        <v>-7.6000000000000004E-4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7.2700000000000004E-3</v>
      </c>
      <c r="AI98">
        <v>0</v>
      </c>
    </row>
    <row r="99" spans="1:35" x14ac:dyDescent="0.25">
      <c r="A99" s="1">
        <v>42062</v>
      </c>
      <c r="B99" s="8">
        <v>8.9200000000000002E-2</v>
      </c>
      <c r="C99">
        <v>5.7099999999999998E-2</v>
      </c>
      <c r="D99">
        <v>5.4892511014553946E-2</v>
      </c>
      <c r="E99">
        <v>0</v>
      </c>
      <c r="F99">
        <v>0</v>
      </c>
      <c r="G99">
        <v>0</v>
      </c>
      <c r="H99">
        <v>4.3600000000000002E-3</v>
      </c>
      <c r="I99">
        <v>9.0799999999999995E-3</v>
      </c>
      <c r="J99">
        <v>3.6600000000000001E-3</v>
      </c>
      <c r="K99">
        <v>0</v>
      </c>
      <c r="L99">
        <v>4.6800000000000001E-3</v>
      </c>
      <c r="M99">
        <v>0</v>
      </c>
      <c r="N99">
        <v>1.4420000000000001E-2</v>
      </c>
      <c r="O99">
        <v>9.75E-3</v>
      </c>
      <c r="P99">
        <v>0</v>
      </c>
      <c r="Q99">
        <v>1.269E-2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1.5310000000000001E-2</v>
      </c>
      <c r="Y99">
        <v>-2.65E-3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1.7860000000000001E-2</v>
      </c>
      <c r="AI99">
        <v>0</v>
      </c>
    </row>
    <row r="100" spans="1:35" x14ac:dyDescent="0.25">
      <c r="A100" s="1">
        <v>42094</v>
      </c>
      <c r="B100" s="8">
        <v>-2.5100000000000001E-2</v>
      </c>
      <c r="C100">
        <v>-2.24E-2</v>
      </c>
      <c r="D100">
        <v>-1.739610691375626E-2</v>
      </c>
      <c r="E100">
        <v>0</v>
      </c>
      <c r="F100">
        <v>0</v>
      </c>
      <c r="G100">
        <v>0</v>
      </c>
      <c r="H100">
        <v>-2.3400000000000001E-3</v>
      </c>
      <c r="I100">
        <v>-9.2000000000000003E-4</v>
      </c>
      <c r="J100">
        <v>-3.46E-3</v>
      </c>
      <c r="K100">
        <v>0</v>
      </c>
      <c r="L100">
        <v>-4.5100000000000001E-3</v>
      </c>
      <c r="M100">
        <v>0</v>
      </c>
      <c r="N100">
        <v>7.7999999999999999E-4</v>
      </c>
      <c r="O100">
        <v>-4.5399999999999998E-3</v>
      </c>
      <c r="P100">
        <v>0</v>
      </c>
      <c r="Q100">
        <v>-1.14E-3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-5.1500000000000001E-3</v>
      </c>
      <c r="Y100">
        <v>-5.3400000000000001E-3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1.57E-3</v>
      </c>
      <c r="AI100">
        <v>0</v>
      </c>
    </row>
    <row r="101" spans="1:35" x14ac:dyDescent="0.25">
      <c r="A101" s="1">
        <v>42124</v>
      </c>
      <c r="B101" s="8">
        <v>5.6599999999999998E-2</v>
      </c>
      <c r="C101">
        <v>2.3099999999999999E-2</v>
      </c>
      <c r="D101">
        <v>8.5208197301247512E-3</v>
      </c>
      <c r="E101">
        <v>0</v>
      </c>
      <c r="F101">
        <v>0</v>
      </c>
      <c r="G101">
        <v>0</v>
      </c>
      <c r="H101">
        <v>3.5100000000000001E-3</v>
      </c>
      <c r="I101">
        <v>-5.1999999999999995E-4</v>
      </c>
      <c r="J101">
        <v>9.4299999999999991E-3</v>
      </c>
      <c r="K101">
        <v>0</v>
      </c>
      <c r="L101">
        <v>9.0900000000000009E-3</v>
      </c>
      <c r="M101">
        <v>0</v>
      </c>
      <c r="N101">
        <v>3.65E-3</v>
      </c>
      <c r="O101">
        <v>9.1500000000000001E-3</v>
      </c>
      <c r="P101">
        <v>0</v>
      </c>
      <c r="Q101">
        <v>5.0800000000000003E-3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6.0699999999999999E-3</v>
      </c>
      <c r="Y101">
        <v>9.7300000000000008E-3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1.4499999999999999E-3</v>
      </c>
      <c r="AI101">
        <v>0</v>
      </c>
    </row>
    <row r="102" spans="1:35" x14ac:dyDescent="0.25">
      <c r="A102" s="1">
        <v>42153</v>
      </c>
      <c r="B102" s="8">
        <v>6.4000000000000003E-3</v>
      </c>
      <c r="C102">
        <v>8.5000000000000006E-3</v>
      </c>
      <c r="D102">
        <v>1.0491382393316817E-2</v>
      </c>
      <c r="E102">
        <v>0</v>
      </c>
      <c r="F102">
        <v>0</v>
      </c>
      <c r="G102">
        <v>0</v>
      </c>
      <c r="H102">
        <v>3.5799999999999998E-3</v>
      </c>
      <c r="I102">
        <v>5.1000000000000004E-4</v>
      </c>
      <c r="J102">
        <v>-1.8E-3</v>
      </c>
      <c r="K102">
        <v>0</v>
      </c>
      <c r="L102">
        <v>-5.1700000000000001E-3</v>
      </c>
      <c r="M102">
        <v>0</v>
      </c>
      <c r="N102">
        <v>1.5200000000000001E-3</v>
      </c>
      <c r="O102">
        <v>6.9999999999999999E-4</v>
      </c>
      <c r="P102">
        <v>0</v>
      </c>
      <c r="Q102">
        <v>3.98E-3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1.4999999999999999E-4</v>
      </c>
      <c r="Y102">
        <v>-2.3800000000000002E-3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5.2700000000000004E-3</v>
      </c>
      <c r="AI102">
        <v>0</v>
      </c>
    </row>
    <row r="103" spans="1:35" x14ac:dyDescent="0.25">
      <c r="A103" s="1">
        <v>42185</v>
      </c>
      <c r="B103" s="8">
        <v>-1.6199999999999999E-2</v>
      </c>
      <c r="C103">
        <v>-1.7100000000000001E-2</v>
      </c>
      <c r="D103">
        <v>-2.1011672375900514E-2</v>
      </c>
      <c r="E103">
        <v>0</v>
      </c>
      <c r="F103">
        <v>0</v>
      </c>
      <c r="G103">
        <v>0</v>
      </c>
      <c r="H103">
        <v>3.4499999999999999E-3</v>
      </c>
      <c r="I103">
        <v>-4.8199999999999996E-3</v>
      </c>
      <c r="J103">
        <v>-5.9000000000000003E-4</v>
      </c>
      <c r="K103">
        <v>0</v>
      </c>
      <c r="L103">
        <v>-3.5599999999999998E-3</v>
      </c>
      <c r="M103">
        <v>0</v>
      </c>
      <c r="N103">
        <v>3.4199999999999999E-3</v>
      </c>
      <c r="O103">
        <v>-1.72E-3</v>
      </c>
      <c r="P103">
        <v>0</v>
      </c>
      <c r="Q103">
        <v>3.0100000000000001E-3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-9.1299999999999992E-3</v>
      </c>
      <c r="Y103">
        <v>4.2000000000000002E-4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-6.6699999999999997E-3</v>
      </c>
      <c r="AI103">
        <v>0</v>
      </c>
    </row>
    <row r="104" spans="1:35" x14ac:dyDescent="0.25">
      <c r="A104" s="1">
        <v>42216</v>
      </c>
      <c r="B104" s="8">
        <v>-1.7299999999999999E-2</v>
      </c>
      <c r="C104">
        <v>2.23E-2</v>
      </c>
      <c r="D104">
        <v>1.9742029696721453E-2</v>
      </c>
      <c r="E104">
        <v>0</v>
      </c>
      <c r="F104">
        <v>0</v>
      </c>
      <c r="G104">
        <v>0</v>
      </c>
      <c r="H104">
        <v>5.0499999999999998E-3</v>
      </c>
      <c r="I104">
        <v>-2.7899999999999999E-3</v>
      </c>
      <c r="J104">
        <v>-6.3899999999999998E-3</v>
      </c>
      <c r="K104">
        <v>0</v>
      </c>
      <c r="L104">
        <v>-1.6820000000000002E-2</v>
      </c>
      <c r="M104">
        <v>0</v>
      </c>
      <c r="N104">
        <v>5.7099999999999998E-3</v>
      </c>
      <c r="O104">
        <v>-1.7700000000000001E-3</v>
      </c>
      <c r="P104">
        <v>0</v>
      </c>
      <c r="Q104">
        <v>1.7899999999999999E-3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-8.0000000000000004E-4</v>
      </c>
      <c r="Y104">
        <v>-9.7300000000000008E-3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8.4499999999999992E-3</v>
      </c>
      <c r="AI104">
        <v>0</v>
      </c>
    </row>
    <row r="105" spans="1:35" x14ac:dyDescent="0.25">
      <c r="A105" s="1">
        <v>42247</v>
      </c>
      <c r="B105" s="8">
        <v>-2.9499999999999998E-2</v>
      </c>
      <c r="C105">
        <v>-4.58E-2</v>
      </c>
      <c r="D105">
        <v>-6.2580818167202845E-2</v>
      </c>
      <c r="E105">
        <v>0</v>
      </c>
      <c r="F105">
        <v>0</v>
      </c>
      <c r="G105">
        <v>0</v>
      </c>
      <c r="H105">
        <v>-8.6099999999999996E-3</v>
      </c>
      <c r="I105">
        <v>-9.4199999999999996E-3</v>
      </c>
      <c r="J105">
        <v>-2.7899999999999999E-3</v>
      </c>
      <c r="K105">
        <v>0</v>
      </c>
      <c r="L105">
        <v>-2.3600000000000001E-3</v>
      </c>
      <c r="M105">
        <v>0</v>
      </c>
      <c r="N105">
        <v>-1.5100000000000001E-2</v>
      </c>
      <c r="O105">
        <v>-4.8999999999999998E-3</v>
      </c>
      <c r="P105">
        <v>0</v>
      </c>
      <c r="Q105">
        <v>-6.4599999999999996E-3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1.3169999999999999E-2</v>
      </c>
      <c r="Y105">
        <v>4.0000000000000001E-3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2.97E-3</v>
      </c>
      <c r="AI105">
        <v>0</v>
      </c>
    </row>
    <row r="106" spans="1:35" x14ac:dyDescent="0.25">
      <c r="A106" s="1">
        <v>42277</v>
      </c>
      <c r="B106" s="8">
        <v>-2.8400000000000002E-2</v>
      </c>
      <c r="C106">
        <v>-5.9999999999999995E-4</v>
      </c>
      <c r="D106">
        <v>-2.6442831573227132E-2</v>
      </c>
      <c r="E106">
        <v>0</v>
      </c>
      <c r="F106">
        <v>0</v>
      </c>
      <c r="G106">
        <v>0</v>
      </c>
      <c r="H106">
        <v>-4.3499999999999997E-3</v>
      </c>
      <c r="I106">
        <v>-1.65E-3</v>
      </c>
      <c r="J106">
        <v>-1.4500000000000001E-2</v>
      </c>
      <c r="K106">
        <v>0</v>
      </c>
      <c r="L106">
        <v>-2.4199999999999998E-3</v>
      </c>
      <c r="M106">
        <v>0</v>
      </c>
      <c r="N106">
        <v>3.1E-4</v>
      </c>
      <c r="O106">
        <v>2.5400000000000002E-3</v>
      </c>
      <c r="P106">
        <v>0</v>
      </c>
      <c r="Q106">
        <v>-4.8799999999999998E-3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9.6500000000000006E-3</v>
      </c>
      <c r="Y106">
        <v>-8.3700000000000007E-3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-4.7200000000000002E-3</v>
      </c>
      <c r="AI106">
        <v>0</v>
      </c>
    </row>
    <row r="107" spans="1:35" x14ac:dyDescent="0.25">
      <c r="A107" s="1">
        <v>42307</v>
      </c>
      <c r="B107" s="8">
        <v>0.1198</v>
      </c>
      <c r="C107">
        <v>9.6799999999999997E-2</v>
      </c>
      <c r="D107">
        <v>8.2983117760394132E-2</v>
      </c>
      <c r="E107">
        <v>0</v>
      </c>
      <c r="F107">
        <v>0</v>
      </c>
      <c r="G107">
        <v>0</v>
      </c>
      <c r="H107">
        <v>7.7000000000000002E-3</v>
      </c>
      <c r="I107">
        <v>1.8319999999999999E-2</v>
      </c>
      <c r="J107">
        <v>1.285E-2</v>
      </c>
      <c r="K107">
        <v>0</v>
      </c>
      <c r="L107">
        <v>1.278E-2</v>
      </c>
      <c r="M107">
        <v>0</v>
      </c>
      <c r="N107">
        <v>1.129E-2</v>
      </c>
      <c r="O107">
        <v>1.4670000000000001E-2</v>
      </c>
      <c r="P107">
        <v>0</v>
      </c>
      <c r="Q107">
        <v>6.1000000000000004E-3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1.5089999999999999E-2</v>
      </c>
      <c r="Y107">
        <v>1.268E-2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8.2699999999999996E-3</v>
      </c>
      <c r="AI107">
        <v>0</v>
      </c>
    </row>
    <row r="108" spans="1:35" x14ac:dyDescent="0.25">
      <c r="A108" s="1">
        <v>42338</v>
      </c>
      <c r="B108" s="8">
        <v>3.5200000000000002E-2</v>
      </c>
      <c r="C108">
        <v>1.0500000000000001E-2</v>
      </c>
      <c r="D108">
        <v>5.0486926072412786E-4</v>
      </c>
      <c r="E108">
        <v>0</v>
      </c>
      <c r="F108">
        <v>0</v>
      </c>
      <c r="G108">
        <v>0</v>
      </c>
      <c r="H108">
        <v>3.8700000000000002E-3</v>
      </c>
      <c r="I108">
        <v>3.3400000000000001E-3</v>
      </c>
      <c r="J108">
        <v>-4.6999999999999999E-4</v>
      </c>
      <c r="K108">
        <v>0</v>
      </c>
      <c r="L108">
        <v>1.31E-3</v>
      </c>
      <c r="M108">
        <v>0</v>
      </c>
      <c r="N108">
        <v>-2.4000000000000001E-4</v>
      </c>
      <c r="O108">
        <v>3.5300000000000002E-3</v>
      </c>
      <c r="P108">
        <v>0</v>
      </c>
      <c r="Q108">
        <v>3.7799999999999999E-3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1.221E-2</v>
      </c>
      <c r="Y108">
        <v>1.41E-3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6.4099999999999999E-3</v>
      </c>
      <c r="AI108">
        <v>0</v>
      </c>
    </row>
    <row r="109" spans="1:35" x14ac:dyDescent="0.25">
      <c r="A109" s="1">
        <v>42369</v>
      </c>
      <c r="B109" s="8">
        <v>-4.5100000000000001E-2</v>
      </c>
      <c r="C109">
        <v>-1.3899999999999999E-2</v>
      </c>
      <c r="D109">
        <v>-1.7530185176314439E-2</v>
      </c>
      <c r="E109">
        <v>0</v>
      </c>
      <c r="F109">
        <v>0</v>
      </c>
      <c r="G109">
        <v>0</v>
      </c>
      <c r="H109">
        <v>-3.16E-3</v>
      </c>
      <c r="I109">
        <v>-5.7800000000000004E-3</v>
      </c>
      <c r="J109">
        <v>-6.4599999999999996E-3</v>
      </c>
      <c r="K109">
        <v>0</v>
      </c>
      <c r="L109">
        <v>-1.362E-2</v>
      </c>
      <c r="M109">
        <v>0</v>
      </c>
      <c r="N109">
        <v>-6.77E-3</v>
      </c>
      <c r="O109">
        <v>4.81E-3</v>
      </c>
      <c r="P109">
        <v>0</v>
      </c>
      <c r="Q109">
        <v>-9.7000000000000005E-4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3.9100000000000003E-3</v>
      </c>
      <c r="Y109">
        <v>-9.5600000000000008E-3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-7.4999999999999997E-3</v>
      </c>
      <c r="AI109">
        <v>0</v>
      </c>
    </row>
    <row r="110" spans="1:35" x14ac:dyDescent="0.25">
      <c r="A110" s="1">
        <v>42398</v>
      </c>
      <c r="B110" s="8">
        <v>2.6499999999999999E-2</v>
      </c>
      <c r="C110">
        <v>-3.7600000000000001E-2</v>
      </c>
      <c r="D110">
        <v>-5.073532197294639E-2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1.9400000000000001E-3</v>
      </c>
      <c r="L110">
        <v>0</v>
      </c>
      <c r="M110">
        <v>6.7000000000000002E-3</v>
      </c>
      <c r="N110">
        <v>0</v>
      </c>
      <c r="O110">
        <v>0</v>
      </c>
      <c r="P110">
        <v>1.67E-3</v>
      </c>
      <c r="Q110">
        <v>0</v>
      </c>
      <c r="R110" s="2">
        <v>-9.0000000000000006E-5</v>
      </c>
      <c r="S110">
        <v>4.7699999999999999E-3</v>
      </c>
      <c r="T110">
        <v>0</v>
      </c>
      <c r="U110">
        <v>0</v>
      </c>
      <c r="V110">
        <v>-7.7999999999999999E-4</v>
      </c>
      <c r="W110">
        <v>0</v>
      </c>
      <c r="X110">
        <v>0</v>
      </c>
      <c r="Y110">
        <v>0</v>
      </c>
      <c r="Z110">
        <v>0</v>
      </c>
      <c r="AA110">
        <v>3.7100000000000002E-3</v>
      </c>
      <c r="AB110">
        <v>4.5500000000000002E-3</v>
      </c>
      <c r="AC110">
        <v>0</v>
      </c>
      <c r="AD110">
        <v>6.1900000000000002E-3</v>
      </c>
      <c r="AE110">
        <v>0</v>
      </c>
      <c r="AF110">
        <v>-2.1099999999999999E-3</v>
      </c>
      <c r="AG110">
        <v>0</v>
      </c>
      <c r="AH110">
        <v>0</v>
      </c>
      <c r="AI110">
        <v>0</v>
      </c>
    </row>
    <row r="111" spans="1:35" x14ac:dyDescent="0.25">
      <c r="A111" s="1">
        <v>42429</v>
      </c>
      <c r="B111" s="8">
        <v>-5.4999999999999997E-3</v>
      </c>
      <c r="C111">
        <v>8.9999999999999998E-4</v>
      </c>
      <c r="D111">
        <v>-4.1283604302990717E-3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-2.8E-3</v>
      </c>
      <c r="L111">
        <v>0</v>
      </c>
      <c r="M111">
        <v>-3.1199999999999999E-3</v>
      </c>
      <c r="N111">
        <v>0</v>
      </c>
      <c r="O111">
        <v>0</v>
      </c>
      <c r="P111">
        <v>1.4599999999999999E-3</v>
      </c>
      <c r="Q111">
        <v>0</v>
      </c>
      <c r="R111">
        <v>4.8999999999999998E-4</v>
      </c>
      <c r="S111">
        <v>-4.5999999999999999E-3</v>
      </c>
      <c r="T111">
        <v>0</v>
      </c>
      <c r="U111">
        <v>0</v>
      </c>
      <c r="V111">
        <v>-6.8000000000000005E-4</v>
      </c>
      <c r="W111">
        <v>0</v>
      </c>
      <c r="X111">
        <v>0</v>
      </c>
      <c r="Y111">
        <v>0</v>
      </c>
      <c r="Z111">
        <v>0</v>
      </c>
      <c r="AA111">
        <v>-1.7099999999999999E-3</v>
      </c>
      <c r="AB111">
        <v>-4.0000000000000002E-4</v>
      </c>
      <c r="AC111">
        <v>0</v>
      </c>
      <c r="AD111">
        <v>2.47E-3</v>
      </c>
      <c r="AE111">
        <v>0</v>
      </c>
      <c r="AF111">
        <v>3.4199999999999999E-3</v>
      </c>
      <c r="AG111">
        <v>0</v>
      </c>
      <c r="AH111">
        <v>0</v>
      </c>
      <c r="AI111">
        <v>0</v>
      </c>
    </row>
    <row r="112" spans="1:35" x14ac:dyDescent="0.25">
      <c r="A112" s="1">
        <v>42460</v>
      </c>
      <c r="B112" s="8">
        <v>5.91E-2</v>
      </c>
      <c r="C112">
        <v>7.3700000000000002E-2</v>
      </c>
      <c r="D112">
        <v>6.5991114577365062E-2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7.6299999999999996E-3</v>
      </c>
      <c r="L112">
        <v>0</v>
      </c>
      <c r="M112">
        <v>8.4399999999999996E-3</v>
      </c>
      <c r="N112">
        <v>0</v>
      </c>
      <c r="O112">
        <v>0</v>
      </c>
      <c r="P112">
        <v>2.8400000000000001E-3</v>
      </c>
      <c r="Q112">
        <v>0</v>
      </c>
      <c r="R112">
        <v>8.3700000000000007E-3</v>
      </c>
      <c r="S112">
        <v>7.2399999999999999E-3</v>
      </c>
      <c r="T112">
        <v>0</v>
      </c>
      <c r="U112">
        <v>0</v>
      </c>
      <c r="V112" s="2">
        <v>6.0000000000000002E-5</v>
      </c>
      <c r="W112">
        <v>0</v>
      </c>
      <c r="X112">
        <v>0</v>
      </c>
      <c r="Y112">
        <v>0</v>
      </c>
      <c r="Z112">
        <v>0</v>
      </c>
      <c r="AA112">
        <v>2.5200000000000001E-3</v>
      </c>
      <c r="AB112">
        <v>7.3699999999999998E-3</v>
      </c>
      <c r="AC112">
        <v>0</v>
      </c>
      <c r="AD112">
        <v>6.0099999999999997E-3</v>
      </c>
      <c r="AE112">
        <v>0</v>
      </c>
      <c r="AF112">
        <v>8.6499999999999997E-3</v>
      </c>
      <c r="AG112">
        <v>0</v>
      </c>
      <c r="AH112">
        <v>0</v>
      </c>
      <c r="AI112">
        <v>0</v>
      </c>
    </row>
    <row r="113" spans="1:35" x14ac:dyDescent="0.25">
      <c r="A113" s="1">
        <v>42489</v>
      </c>
      <c r="B113" s="8">
        <v>-9.7000000000000003E-3</v>
      </c>
      <c r="C113">
        <v>1.4999999999999999E-2</v>
      </c>
      <c r="D113">
        <v>2.6993984808731941E-3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9.3000000000000005E-4</v>
      </c>
      <c r="L113">
        <v>0</v>
      </c>
      <c r="M113">
        <v>-4.8599999999999997E-3</v>
      </c>
      <c r="N113">
        <v>0</v>
      </c>
      <c r="O113">
        <v>0</v>
      </c>
      <c r="P113">
        <v>3.5899999999999999E-3</v>
      </c>
      <c r="Q113">
        <v>0</v>
      </c>
      <c r="R113">
        <v>-3.4299999999999999E-3</v>
      </c>
      <c r="S113">
        <v>6.4000000000000005E-4</v>
      </c>
      <c r="T113">
        <v>0</v>
      </c>
      <c r="U113">
        <v>0</v>
      </c>
      <c r="V113">
        <v>-4.1200000000000004E-3</v>
      </c>
      <c r="W113">
        <v>0</v>
      </c>
      <c r="X113">
        <v>0</v>
      </c>
      <c r="Y113">
        <v>0</v>
      </c>
      <c r="Z113">
        <v>0</v>
      </c>
      <c r="AA113">
        <v>-1.8500000000000001E-3</v>
      </c>
      <c r="AB113">
        <v>-3.15E-3</v>
      </c>
      <c r="AC113">
        <v>0</v>
      </c>
      <c r="AD113">
        <v>3.3E-4</v>
      </c>
      <c r="AE113">
        <v>0</v>
      </c>
      <c r="AF113">
        <v>2.16E-3</v>
      </c>
      <c r="AG113">
        <v>0</v>
      </c>
      <c r="AH113">
        <v>0</v>
      </c>
      <c r="AI113">
        <v>0</v>
      </c>
    </row>
    <row r="114" spans="1:35" x14ac:dyDescent="0.25">
      <c r="A114" s="1">
        <v>42521</v>
      </c>
      <c r="B114" s="8">
        <v>-5.3E-3</v>
      </c>
      <c r="C114">
        <v>1.7399999999999999E-2</v>
      </c>
      <c r="D114">
        <v>1.5324602357572603E-2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-7.2000000000000005E-4</v>
      </c>
      <c r="L114">
        <v>0</v>
      </c>
      <c r="M114">
        <v>1.09E-3</v>
      </c>
      <c r="N114">
        <v>0</v>
      </c>
      <c r="O114">
        <v>0</v>
      </c>
      <c r="P114">
        <v>1.2600000000000001E-3</v>
      </c>
      <c r="Q114">
        <v>0</v>
      </c>
      <c r="R114">
        <v>-4.4999999999999999E-4</v>
      </c>
      <c r="S114">
        <v>-3.5000000000000001E-3</v>
      </c>
      <c r="T114">
        <v>0</v>
      </c>
      <c r="U114">
        <v>0</v>
      </c>
      <c r="V114">
        <v>-6.3099999999999996E-3</v>
      </c>
      <c r="W114">
        <v>0</v>
      </c>
      <c r="X114">
        <v>0</v>
      </c>
      <c r="Y114">
        <v>0</v>
      </c>
      <c r="Z114">
        <v>0</v>
      </c>
      <c r="AA114">
        <v>1.15E-3</v>
      </c>
      <c r="AB114">
        <v>-2.0000000000000001E-4</v>
      </c>
      <c r="AC114">
        <v>0</v>
      </c>
      <c r="AD114">
        <v>8.4999999999999995E-4</v>
      </c>
      <c r="AE114">
        <v>0</v>
      </c>
      <c r="AF114">
        <v>1.5100000000000001E-3</v>
      </c>
      <c r="AG114">
        <v>0</v>
      </c>
      <c r="AH114">
        <v>0</v>
      </c>
      <c r="AI114">
        <v>0</v>
      </c>
    </row>
    <row r="115" spans="1:35" x14ac:dyDescent="0.25">
      <c r="A115" s="1">
        <v>42551</v>
      </c>
      <c r="B115" s="8">
        <v>5.1900000000000002E-2</v>
      </c>
      <c r="C115">
        <v>2.53E-2</v>
      </c>
      <c r="D115">
        <v>9.1092112097812539E-4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3.96E-3</v>
      </c>
      <c r="L115">
        <v>0</v>
      </c>
      <c r="M115">
        <v>8.8299999999999993E-3</v>
      </c>
      <c r="N115">
        <v>0</v>
      </c>
      <c r="O115">
        <v>0</v>
      </c>
      <c r="P115">
        <v>7.6400000000000001E-3</v>
      </c>
      <c r="Q115">
        <v>0</v>
      </c>
      <c r="R115">
        <v>2.4199999999999998E-3</v>
      </c>
      <c r="S115">
        <v>-6.8000000000000005E-4</v>
      </c>
      <c r="T115">
        <v>0</v>
      </c>
      <c r="U115">
        <v>0</v>
      </c>
      <c r="V115">
        <v>2.5000000000000001E-4</v>
      </c>
      <c r="W115">
        <v>0</v>
      </c>
      <c r="X115">
        <v>0</v>
      </c>
      <c r="Y115">
        <v>0</v>
      </c>
      <c r="Z115">
        <v>0</v>
      </c>
      <c r="AA115">
        <v>4.4799999999999996E-3</v>
      </c>
      <c r="AB115">
        <v>8.4700000000000001E-3</v>
      </c>
      <c r="AC115">
        <v>0</v>
      </c>
      <c r="AD115">
        <v>1.0370000000000001E-2</v>
      </c>
      <c r="AE115">
        <v>0</v>
      </c>
      <c r="AF115">
        <v>6.1000000000000004E-3</v>
      </c>
      <c r="AG115">
        <v>0</v>
      </c>
      <c r="AH115">
        <v>0</v>
      </c>
      <c r="AI115">
        <v>0</v>
      </c>
    </row>
    <row r="116" spans="1:35" x14ac:dyDescent="0.25">
      <c r="A116" s="1">
        <v>42580</v>
      </c>
      <c r="B116" s="8">
        <v>4.4999999999999997E-3</v>
      </c>
      <c r="C116">
        <v>2.8500000000000001E-2</v>
      </c>
      <c r="D116">
        <v>3.5609801125254359E-2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2.2100000000000002E-3</v>
      </c>
      <c r="L116">
        <v>0</v>
      </c>
      <c r="M116">
        <v>1.2E-4</v>
      </c>
      <c r="N116">
        <v>0</v>
      </c>
      <c r="O116">
        <v>0</v>
      </c>
      <c r="P116">
        <v>3.2399999999999998E-3</v>
      </c>
      <c r="Q116">
        <v>0</v>
      </c>
      <c r="R116">
        <v>-3.7499999999999999E-3</v>
      </c>
      <c r="S116">
        <v>-2.2399999999999998E-3</v>
      </c>
      <c r="T116">
        <v>0</v>
      </c>
      <c r="U116">
        <v>0</v>
      </c>
      <c r="V116">
        <v>5.4000000000000001E-4</v>
      </c>
      <c r="W116">
        <v>0</v>
      </c>
      <c r="X116">
        <v>0</v>
      </c>
      <c r="Y116">
        <v>0</v>
      </c>
      <c r="Z116">
        <v>0</v>
      </c>
      <c r="AA116">
        <v>1.8799999999999999E-3</v>
      </c>
      <c r="AB116">
        <v>-2.4000000000000001E-4</v>
      </c>
      <c r="AC116">
        <v>0</v>
      </c>
      <c r="AD116">
        <v>1.2999999999999999E-3</v>
      </c>
      <c r="AE116">
        <v>0</v>
      </c>
      <c r="AF116">
        <v>1.42E-3</v>
      </c>
      <c r="AG116">
        <v>0</v>
      </c>
      <c r="AH116">
        <v>0</v>
      </c>
      <c r="AI116">
        <v>0</v>
      </c>
    </row>
    <row r="117" spans="1:35" x14ac:dyDescent="0.25">
      <c r="A117" s="1">
        <v>42613</v>
      </c>
      <c r="B117" s="8">
        <v>-1.7299999999999999E-2</v>
      </c>
      <c r="C117">
        <v>2.9999999999999997E-4</v>
      </c>
      <c r="D117">
        <v>-1.2192431360480427E-3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-1.2E-4</v>
      </c>
      <c r="L117">
        <v>0</v>
      </c>
      <c r="M117">
        <v>-4.0499999999999998E-3</v>
      </c>
      <c r="N117">
        <v>0</v>
      </c>
      <c r="O117">
        <v>0</v>
      </c>
      <c r="P117">
        <v>-4.0600000000000002E-3</v>
      </c>
      <c r="Q117">
        <v>0</v>
      </c>
      <c r="R117">
        <v>-4.6000000000000001E-4</v>
      </c>
      <c r="S117">
        <v>-9.3999999999999997E-4</v>
      </c>
      <c r="T117">
        <v>0</v>
      </c>
      <c r="U117">
        <v>0</v>
      </c>
      <c r="V117">
        <v>3.8600000000000001E-3</v>
      </c>
      <c r="W117">
        <v>0</v>
      </c>
      <c r="X117">
        <v>0</v>
      </c>
      <c r="Y117">
        <v>0</v>
      </c>
      <c r="Z117">
        <v>0</v>
      </c>
      <c r="AA117">
        <v>2.0100000000000001E-3</v>
      </c>
      <c r="AB117">
        <v>-3.0100000000000001E-3</v>
      </c>
      <c r="AC117">
        <v>0</v>
      </c>
      <c r="AD117">
        <v>-5.5700000000000003E-3</v>
      </c>
      <c r="AE117">
        <v>0</v>
      </c>
      <c r="AF117">
        <v>-4.9899999999999996E-3</v>
      </c>
      <c r="AG117">
        <v>0</v>
      </c>
      <c r="AH117">
        <v>0</v>
      </c>
      <c r="AI117">
        <v>0</v>
      </c>
    </row>
    <row r="118" spans="1:35" x14ac:dyDescent="0.25">
      <c r="A118" s="1">
        <v>42643</v>
      </c>
      <c r="B118" s="8">
        <v>-6.1000000000000004E-3</v>
      </c>
      <c r="C118">
        <v>6.1000000000000004E-3</v>
      </c>
      <c r="D118">
        <v>-1.2344508443253854E-3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-2.7E-4</v>
      </c>
      <c r="L118">
        <v>0</v>
      </c>
      <c r="M118">
        <v>1.4999999999999999E-4</v>
      </c>
      <c r="N118">
        <v>0</v>
      </c>
      <c r="O118">
        <v>0</v>
      </c>
      <c r="P118">
        <v>-1.01E-3</v>
      </c>
      <c r="Q118">
        <v>0</v>
      </c>
      <c r="R118">
        <v>-1.75E-3</v>
      </c>
      <c r="S118">
        <v>-2.5999999999999998E-4</v>
      </c>
      <c r="T118">
        <v>0</v>
      </c>
      <c r="U118">
        <v>0</v>
      </c>
      <c r="V118">
        <v>-8.3800000000000003E-3</v>
      </c>
      <c r="W118">
        <v>0</v>
      </c>
      <c r="X118">
        <v>0</v>
      </c>
      <c r="Y118">
        <v>0</v>
      </c>
      <c r="Z118">
        <v>0</v>
      </c>
      <c r="AA118">
        <v>2.7899999999999999E-3</v>
      </c>
      <c r="AB118" s="2">
        <v>-6.0000000000000002E-5</v>
      </c>
      <c r="AC118">
        <v>0</v>
      </c>
      <c r="AD118">
        <v>-6.6E-4</v>
      </c>
      <c r="AE118">
        <v>0</v>
      </c>
      <c r="AF118">
        <v>3.3600000000000001E-3</v>
      </c>
      <c r="AG118">
        <v>0</v>
      </c>
      <c r="AH118">
        <v>0</v>
      </c>
      <c r="AI118">
        <v>0</v>
      </c>
    </row>
    <row r="119" spans="1:35" x14ac:dyDescent="0.25">
      <c r="A119" s="1">
        <v>42674</v>
      </c>
      <c r="B119" s="8">
        <v>-0.02</v>
      </c>
      <c r="C119">
        <v>-1.03E-2</v>
      </c>
      <c r="D119">
        <v>-1.9425679279557517E-2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-3.2200000000000002E-3</v>
      </c>
      <c r="L119">
        <v>0</v>
      </c>
      <c r="M119">
        <v>1.25E-3</v>
      </c>
      <c r="N119">
        <v>0</v>
      </c>
      <c r="O119">
        <v>0</v>
      </c>
      <c r="P119">
        <v>-1.81E-3</v>
      </c>
      <c r="Q119">
        <v>0</v>
      </c>
      <c r="R119">
        <v>1.9000000000000001E-4</v>
      </c>
      <c r="S119">
        <v>-2.4199999999999998E-3</v>
      </c>
      <c r="T119">
        <v>0</v>
      </c>
      <c r="U119">
        <v>0</v>
      </c>
      <c r="V119">
        <v>-4.6899999999999997E-3</v>
      </c>
      <c r="W119">
        <v>0</v>
      </c>
      <c r="X119">
        <v>0</v>
      </c>
      <c r="Y119">
        <v>0</v>
      </c>
      <c r="Z119">
        <v>0</v>
      </c>
      <c r="AA119">
        <v>-2.5400000000000002E-3</v>
      </c>
      <c r="AB119">
        <v>5.2999999999999998E-4</v>
      </c>
      <c r="AC119">
        <v>0</v>
      </c>
      <c r="AD119">
        <v>-8.2199999999999999E-3</v>
      </c>
      <c r="AE119">
        <v>0</v>
      </c>
      <c r="AF119">
        <v>9.5E-4</v>
      </c>
      <c r="AG119">
        <v>0</v>
      </c>
      <c r="AH119">
        <v>0</v>
      </c>
      <c r="AI119">
        <v>0</v>
      </c>
    </row>
    <row r="120" spans="1:35" x14ac:dyDescent="0.25">
      <c r="A120" s="1">
        <v>42704</v>
      </c>
      <c r="B120" s="8">
        <v>-6.7000000000000002E-3</v>
      </c>
      <c r="C120">
        <v>4.7500000000000001E-2</v>
      </c>
      <c r="D120">
        <v>3.4174522187570444E-2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-8.5900000000000004E-3</v>
      </c>
      <c r="L120">
        <v>0</v>
      </c>
      <c r="M120">
        <v>-1.6100000000000001E-3</v>
      </c>
      <c r="N120">
        <v>0</v>
      </c>
      <c r="O120">
        <v>0</v>
      </c>
      <c r="P120">
        <v>-3.3500000000000001E-3</v>
      </c>
      <c r="Q120">
        <v>0</v>
      </c>
      <c r="R120">
        <v>-4.0099999999999997E-3</v>
      </c>
      <c r="S120">
        <v>6.79E-3</v>
      </c>
      <c r="T120">
        <v>0</v>
      </c>
      <c r="U120">
        <v>0</v>
      </c>
      <c r="V120">
        <v>-2.2000000000000001E-4</v>
      </c>
      <c r="W120">
        <v>0</v>
      </c>
      <c r="X120">
        <v>0</v>
      </c>
      <c r="Y120">
        <v>0</v>
      </c>
      <c r="Z120">
        <v>0</v>
      </c>
      <c r="AA120">
        <v>-5.0000000000000001E-3</v>
      </c>
      <c r="AB120">
        <v>-8.1200000000000005E-3</v>
      </c>
      <c r="AC120">
        <v>0</v>
      </c>
      <c r="AD120">
        <v>5.0000000000000001E-3</v>
      </c>
      <c r="AE120">
        <v>0</v>
      </c>
      <c r="AF120">
        <v>1.2460000000000001E-2</v>
      </c>
      <c r="AG120">
        <v>0</v>
      </c>
      <c r="AH120">
        <v>0</v>
      </c>
      <c r="AI120">
        <v>0</v>
      </c>
    </row>
    <row r="121" spans="1:35" x14ac:dyDescent="0.25">
      <c r="A121" s="1">
        <v>42734</v>
      </c>
      <c r="B121" s="8">
        <v>3.32E-2</v>
      </c>
      <c r="C121">
        <v>2.6700000000000002E-2</v>
      </c>
      <c r="D121">
        <v>1.8200762196895148E-2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3.2000000000000003E-4</v>
      </c>
      <c r="L121">
        <v>0</v>
      </c>
      <c r="M121">
        <v>4.4999999999999997E-3</v>
      </c>
      <c r="N121">
        <v>0</v>
      </c>
      <c r="O121">
        <v>0</v>
      </c>
      <c r="P121">
        <v>3.5100000000000001E-3</v>
      </c>
      <c r="Q121">
        <v>0</v>
      </c>
      <c r="R121">
        <v>2.7499999999999998E-3</v>
      </c>
      <c r="S121">
        <v>2.0500000000000002E-3</v>
      </c>
      <c r="T121">
        <v>0</v>
      </c>
      <c r="U121">
        <v>0</v>
      </c>
      <c r="V121">
        <v>1.8799999999999999E-3</v>
      </c>
      <c r="W121">
        <v>0</v>
      </c>
      <c r="X121">
        <v>0</v>
      </c>
      <c r="Y121">
        <v>0</v>
      </c>
      <c r="Z121">
        <v>0</v>
      </c>
      <c r="AA121">
        <v>1.9599999999999999E-3</v>
      </c>
      <c r="AB121">
        <v>5.0600000000000003E-3</v>
      </c>
      <c r="AC121">
        <v>0</v>
      </c>
      <c r="AD121">
        <v>1.01E-2</v>
      </c>
      <c r="AE121">
        <v>0</v>
      </c>
      <c r="AF121">
        <v>1.09E-3</v>
      </c>
      <c r="AG121">
        <v>0</v>
      </c>
      <c r="AH121">
        <v>0</v>
      </c>
      <c r="AI121">
        <v>0</v>
      </c>
    </row>
    <row r="122" spans="1:35" x14ac:dyDescent="0.25">
      <c r="A122" s="1">
        <v>42766</v>
      </c>
      <c r="B122" s="8">
        <v>1.7600000000000001E-2</v>
      </c>
      <c r="C122">
        <v>8.6E-3</v>
      </c>
      <c r="D122">
        <v>1.7884358171464498E-2</v>
      </c>
      <c r="E122">
        <v>4.7699999999999999E-3</v>
      </c>
      <c r="F122">
        <v>9.8200000000000006E-3</v>
      </c>
      <c r="G122">
        <v>0</v>
      </c>
      <c r="H122">
        <v>2.4399999999999999E-3</v>
      </c>
      <c r="I122">
        <v>-1.72E-3</v>
      </c>
      <c r="J122">
        <v>3.98E-3</v>
      </c>
      <c r="K122">
        <v>0</v>
      </c>
      <c r="L122">
        <v>-2.7499999999999998E-3</v>
      </c>
      <c r="M122">
        <v>0</v>
      </c>
      <c r="N122">
        <v>6.1700000000000001E-3</v>
      </c>
      <c r="O122">
        <v>-6.0099999999999997E-3</v>
      </c>
      <c r="P122">
        <v>0</v>
      </c>
      <c r="Q122">
        <v>-1.3699999999999999E-3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2.2899999999999999E-3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</row>
    <row r="123" spans="1:35" x14ac:dyDescent="0.25">
      <c r="A123" s="1">
        <v>42794</v>
      </c>
      <c r="B123" s="8">
        <v>2.86E-2</v>
      </c>
      <c r="C123">
        <v>3.1899999999999998E-2</v>
      </c>
      <c r="D123">
        <v>3.7198160337279074E-2</v>
      </c>
      <c r="E123">
        <v>1.336E-2</v>
      </c>
      <c r="F123">
        <v>2.6199999999999999E-3</v>
      </c>
      <c r="G123">
        <v>0</v>
      </c>
      <c r="H123">
        <v>9.0100000000000006E-3</v>
      </c>
      <c r="I123">
        <v>3.5999999999999999E-3</v>
      </c>
      <c r="J123">
        <v>1.0499999999999999E-3</v>
      </c>
      <c r="K123">
        <v>0</v>
      </c>
      <c r="L123">
        <v>-1.9E-3</v>
      </c>
      <c r="M123">
        <v>0</v>
      </c>
      <c r="N123">
        <v>-5.1000000000000004E-4</v>
      </c>
      <c r="O123">
        <v>1.1800000000000001E-3</v>
      </c>
      <c r="P123">
        <v>0</v>
      </c>
      <c r="Q123">
        <v>7.0800000000000004E-3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-6.9199999999999999E-3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</row>
    <row r="124" spans="1:35" x14ac:dyDescent="0.25">
      <c r="A124" s="1">
        <v>42825</v>
      </c>
      <c r="B124" s="8">
        <v>1.3299999999999999E-2</v>
      </c>
      <c r="C124">
        <v>3.8E-3</v>
      </c>
      <c r="D124">
        <v>-3.8919718808450021E-4</v>
      </c>
      <c r="E124">
        <v>4.8700000000000002E-3</v>
      </c>
      <c r="F124">
        <v>4.9100000000000003E-3</v>
      </c>
      <c r="G124">
        <v>0</v>
      </c>
      <c r="H124">
        <v>-4.1099999999999999E-3</v>
      </c>
      <c r="I124">
        <v>-3.6999999999999999E-4</v>
      </c>
      <c r="J124">
        <v>-4.0299999999999997E-3</v>
      </c>
      <c r="K124">
        <v>0</v>
      </c>
      <c r="L124">
        <v>4.8399999999999997E-3</v>
      </c>
      <c r="M124">
        <v>0</v>
      </c>
      <c r="N124">
        <v>3.0000000000000001E-3</v>
      </c>
      <c r="O124" s="2">
        <v>-3.0000000000000001E-5</v>
      </c>
      <c r="P124">
        <v>0</v>
      </c>
      <c r="Q124">
        <v>-3.0699999999999998E-3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7.3400000000000002E-3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</row>
    <row r="125" spans="1:35" x14ac:dyDescent="0.25">
      <c r="A125" s="1">
        <v>42853</v>
      </c>
      <c r="B125" s="8">
        <v>5.3E-3</v>
      </c>
      <c r="C125">
        <v>6.7000000000000002E-3</v>
      </c>
      <c r="D125">
        <v>9.0912085493182193E-3</v>
      </c>
      <c r="E125" s="2">
        <v>-1.0000000000000001E-5</v>
      </c>
      <c r="F125">
        <v>4.3400000000000001E-3</v>
      </c>
      <c r="G125">
        <v>0</v>
      </c>
      <c r="H125">
        <v>-1.06E-3</v>
      </c>
      <c r="I125">
        <v>2.7999999999999998E-4</v>
      </c>
      <c r="J125">
        <v>1.107E-2</v>
      </c>
      <c r="K125">
        <v>0</v>
      </c>
      <c r="L125">
        <v>-3.9300000000000003E-3</v>
      </c>
      <c r="M125">
        <v>0</v>
      </c>
      <c r="N125">
        <v>1.9499999999999999E-3</v>
      </c>
      <c r="O125">
        <v>-2.7200000000000002E-3</v>
      </c>
      <c r="P125">
        <v>0</v>
      </c>
      <c r="Q125">
        <v>-3.8999999999999999E-4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-4.2500000000000003E-3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</row>
    <row r="126" spans="1:35" x14ac:dyDescent="0.25">
      <c r="A126" s="1">
        <v>42886</v>
      </c>
      <c r="B126" s="8">
        <v>3.4799999999999998E-2</v>
      </c>
      <c r="C126">
        <v>2.3300000000000001E-2</v>
      </c>
      <c r="D126">
        <v>1.157625139134133E-2</v>
      </c>
      <c r="E126">
        <v>6.7799999999999996E-3</v>
      </c>
      <c r="F126">
        <v>7.5300000000000002E-3</v>
      </c>
      <c r="G126">
        <v>0</v>
      </c>
      <c r="H126">
        <v>-3.6600000000000001E-3</v>
      </c>
      <c r="I126">
        <v>6.4200000000000004E-3</v>
      </c>
      <c r="J126">
        <v>3.0999999999999999E-3</v>
      </c>
      <c r="K126">
        <v>0</v>
      </c>
      <c r="L126">
        <v>-6.1700000000000001E-3</v>
      </c>
      <c r="M126">
        <v>0</v>
      </c>
      <c r="N126">
        <v>-6.6299999999999996E-3</v>
      </c>
      <c r="O126">
        <v>-5.5500000000000002E-3</v>
      </c>
      <c r="P126">
        <v>0</v>
      </c>
      <c r="Q126">
        <v>-5.5700000000000003E-3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3.8530000000000002E-2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</row>
    <row r="127" spans="1:35" x14ac:dyDescent="0.25">
      <c r="A127" s="1">
        <v>42916</v>
      </c>
      <c r="B127" s="8">
        <v>1.3299999999999999E-2</v>
      </c>
      <c r="C127">
        <v>1.41E-2</v>
      </c>
      <c r="D127">
        <v>4.8137750908554544E-3</v>
      </c>
      <c r="E127">
        <v>-5.7200000000000003E-3</v>
      </c>
      <c r="F127">
        <v>-2.6800000000000001E-3</v>
      </c>
      <c r="G127">
        <v>0</v>
      </c>
      <c r="H127">
        <v>8.26E-3</v>
      </c>
      <c r="I127">
        <v>3.8300000000000001E-3</v>
      </c>
      <c r="J127">
        <v>1.9300000000000001E-3</v>
      </c>
      <c r="K127">
        <v>0</v>
      </c>
      <c r="L127">
        <v>-1.6299999999999999E-3</v>
      </c>
      <c r="M127">
        <v>0</v>
      </c>
      <c r="N127">
        <v>-1.57E-3</v>
      </c>
      <c r="O127">
        <v>-4.6999999999999999E-4</v>
      </c>
      <c r="P127">
        <v>0</v>
      </c>
      <c r="Q127">
        <v>1.1259999999999999E-2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1.4999999999999999E-4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</row>
    <row r="128" spans="1:35" x14ac:dyDescent="0.25">
      <c r="A128" s="1">
        <v>42947</v>
      </c>
      <c r="B128" s="8">
        <v>2.87E-2</v>
      </c>
      <c r="C128">
        <v>2.2800000000000001E-2</v>
      </c>
      <c r="D128">
        <v>1.9348826118030571E-2</v>
      </c>
      <c r="E128">
        <v>3.2699999999999999E-3</v>
      </c>
      <c r="F128">
        <v>2.0400000000000001E-3</v>
      </c>
      <c r="G128">
        <v>0</v>
      </c>
      <c r="H128">
        <v>-5.8E-4</v>
      </c>
      <c r="I128">
        <v>9.7999999999999997E-4</v>
      </c>
      <c r="J128">
        <v>6.77E-3</v>
      </c>
      <c r="K128">
        <v>0</v>
      </c>
      <c r="L128">
        <v>3.81E-3</v>
      </c>
      <c r="M128">
        <v>0</v>
      </c>
      <c r="N128">
        <v>4.1999999999999997E-3</v>
      </c>
      <c r="O128">
        <v>-5.1799999999999997E-3</v>
      </c>
      <c r="P128">
        <v>0</v>
      </c>
      <c r="Q128">
        <v>9.7999999999999997E-4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1.242E-2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</row>
    <row r="129" spans="1:35" x14ac:dyDescent="0.25">
      <c r="A129" s="1">
        <v>42978</v>
      </c>
      <c r="B129" s="8">
        <v>-1.1000000000000001E-3</v>
      </c>
      <c r="C129">
        <v>2.7000000000000001E-3</v>
      </c>
      <c r="D129">
        <v>5.4643281108557318E-4</v>
      </c>
      <c r="E129">
        <v>1.069E-2</v>
      </c>
      <c r="F129">
        <v>-7.2999999999999996E-4</v>
      </c>
      <c r="G129">
        <v>0</v>
      </c>
      <c r="H129">
        <v>-4.6000000000000001E-4</v>
      </c>
      <c r="I129">
        <v>-1.1800000000000001E-3</v>
      </c>
      <c r="J129">
        <v>3.1099999999999999E-3</v>
      </c>
      <c r="K129">
        <v>0</v>
      </c>
      <c r="L129">
        <v>-3.7699999999999999E-3</v>
      </c>
      <c r="M129">
        <v>0</v>
      </c>
      <c r="N129">
        <v>-7.9399999999999991E-3</v>
      </c>
      <c r="O129">
        <v>-4.1399999999999996E-3</v>
      </c>
      <c r="P129">
        <v>0</v>
      </c>
      <c r="Q129">
        <v>-9.8999999999999999E-4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4.3499999999999997E-3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</row>
    <row r="130" spans="1:35" x14ac:dyDescent="0.25">
      <c r="A130" s="1">
        <v>43007</v>
      </c>
      <c r="B130" s="8">
        <v>3.3000000000000002E-2</v>
      </c>
      <c r="C130">
        <v>2.3800000000000002E-2</v>
      </c>
      <c r="D130">
        <v>1.9302978533243698E-2</v>
      </c>
      <c r="E130">
        <v>-6.0200000000000002E-3</v>
      </c>
      <c r="F130">
        <v>-1.9599999999999999E-3</v>
      </c>
      <c r="G130">
        <v>0</v>
      </c>
      <c r="H130">
        <v>6.0699999999999999E-3</v>
      </c>
      <c r="I130">
        <v>6.7000000000000002E-3</v>
      </c>
      <c r="J130">
        <v>6.1500000000000001E-3</v>
      </c>
      <c r="K130">
        <v>0</v>
      </c>
      <c r="L130">
        <v>1.464E-2</v>
      </c>
      <c r="M130">
        <v>0</v>
      </c>
      <c r="N130">
        <v>-2.5999999999999999E-3</v>
      </c>
      <c r="O130">
        <v>-5.2999999999999998E-4</v>
      </c>
      <c r="P130">
        <v>0</v>
      </c>
      <c r="Q130">
        <v>5.0800000000000003E-3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5.5100000000000001E-3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</row>
    <row r="131" spans="1:35" x14ac:dyDescent="0.25">
      <c r="A131" s="1">
        <v>43039</v>
      </c>
      <c r="B131" s="8">
        <v>5.45E-2</v>
      </c>
      <c r="C131">
        <v>3.56E-2</v>
      </c>
      <c r="D131">
        <v>2.218813533034969E-2</v>
      </c>
      <c r="E131">
        <v>9.6799999999999994E-3</v>
      </c>
      <c r="F131">
        <v>1.4970000000000001E-2</v>
      </c>
      <c r="G131">
        <v>0</v>
      </c>
      <c r="H131">
        <v>8.09E-3</v>
      </c>
      <c r="I131">
        <v>5.3099999999999996E-3</v>
      </c>
      <c r="J131">
        <v>9.5200000000000007E-3</v>
      </c>
      <c r="K131">
        <v>0</v>
      </c>
      <c r="L131">
        <v>2.7299999999999998E-3</v>
      </c>
      <c r="M131">
        <v>0</v>
      </c>
      <c r="N131">
        <v>-7.6999999999999996E-4</v>
      </c>
      <c r="O131">
        <v>-1.6629999999999999E-2</v>
      </c>
      <c r="P131">
        <v>0</v>
      </c>
      <c r="Q131">
        <v>5.9300000000000004E-3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1.5679999999999999E-2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</row>
    <row r="132" spans="1:35" x14ac:dyDescent="0.25">
      <c r="A132" s="1">
        <v>43069</v>
      </c>
      <c r="B132" s="8">
        <v>2.0500000000000001E-2</v>
      </c>
      <c r="C132">
        <v>3.3300000000000003E-2</v>
      </c>
      <c r="D132">
        <v>2.808262766445857E-2</v>
      </c>
      <c r="E132">
        <v>2.0400000000000001E-3</v>
      </c>
      <c r="F132">
        <v>6.4700000000000001E-3</v>
      </c>
      <c r="G132">
        <v>0</v>
      </c>
      <c r="H132">
        <v>3.29E-3</v>
      </c>
      <c r="I132">
        <v>6.45E-3</v>
      </c>
      <c r="J132">
        <v>3.9399999999999999E-3</v>
      </c>
      <c r="K132">
        <v>0</v>
      </c>
      <c r="L132">
        <v>-5.2999999999999998E-4</v>
      </c>
      <c r="M132">
        <v>0</v>
      </c>
      <c r="N132">
        <v>7.1700000000000002E-3</v>
      </c>
      <c r="O132">
        <v>-9.2800000000000001E-3</v>
      </c>
      <c r="P132">
        <v>0</v>
      </c>
      <c r="Q132">
        <v>3.8899999999999998E-3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-2.8800000000000002E-3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</row>
    <row r="133" spans="1:35" x14ac:dyDescent="0.25">
      <c r="A133" s="1">
        <v>43098</v>
      </c>
      <c r="B133" s="8">
        <v>2.3300000000000001E-2</v>
      </c>
      <c r="C133">
        <v>1.46E-2</v>
      </c>
      <c r="D133">
        <v>9.8316304826040479E-3</v>
      </c>
      <c r="E133">
        <v>-1.5200000000000001E-3</v>
      </c>
      <c r="F133">
        <v>-6.2E-4</v>
      </c>
      <c r="G133">
        <v>0</v>
      </c>
      <c r="H133">
        <v>4.79E-3</v>
      </c>
      <c r="I133">
        <v>3.0000000000000001E-3</v>
      </c>
      <c r="J133">
        <v>1.1639999999999999E-2</v>
      </c>
      <c r="K133">
        <v>0</v>
      </c>
      <c r="L133">
        <v>7.8799999999999999E-3</v>
      </c>
      <c r="M133">
        <v>0</v>
      </c>
      <c r="N133">
        <v>3.3700000000000002E-3</v>
      </c>
      <c r="O133">
        <v>-3.9399999999999999E-3</v>
      </c>
      <c r="P133">
        <v>0</v>
      </c>
      <c r="Q133">
        <v>2.32E-3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-3.5899999999999999E-3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</row>
    <row r="134" spans="1:35" x14ac:dyDescent="0.25">
      <c r="A134" s="1">
        <v>43131</v>
      </c>
      <c r="B134" s="8">
        <v>0.1087</v>
      </c>
      <c r="C134">
        <v>5.0900000000000001E-2</v>
      </c>
      <c r="D134">
        <v>5.6178704444133087E-2</v>
      </c>
      <c r="E134">
        <v>-1.06E-3</v>
      </c>
      <c r="F134">
        <v>2.4060000000000002E-2</v>
      </c>
      <c r="G134">
        <v>2.0160000000000001E-2</v>
      </c>
      <c r="H134">
        <v>8.3999999999999995E-3</v>
      </c>
      <c r="I134">
        <v>9.3600000000000003E-3</v>
      </c>
      <c r="J134">
        <v>3.79E-3</v>
      </c>
      <c r="K134">
        <v>0</v>
      </c>
      <c r="L134">
        <v>7.1399999999999996E-3</v>
      </c>
      <c r="M134">
        <v>0</v>
      </c>
      <c r="N134">
        <v>1.08E-3</v>
      </c>
      <c r="O134">
        <v>0</v>
      </c>
      <c r="P134">
        <v>0</v>
      </c>
      <c r="Q134">
        <v>8.6899999999999998E-3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2.7029999999999998E-2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</row>
    <row r="135" spans="1:35" x14ac:dyDescent="0.25">
      <c r="A135" s="1">
        <v>43159</v>
      </c>
      <c r="B135" s="8">
        <v>-7.1000000000000004E-3</v>
      </c>
      <c r="C135">
        <v>-4.5600000000000002E-2</v>
      </c>
      <c r="D135">
        <v>-3.8947372061896912E-2</v>
      </c>
      <c r="E135">
        <v>6.7600000000000004E-3</v>
      </c>
      <c r="F135">
        <v>4.2399999999999998E-3</v>
      </c>
      <c r="G135">
        <v>2.6900000000000001E-3</v>
      </c>
      <c r="H135">
        <v>3.1E-4</v>
      </c>
      <c r="I135">
        <v>-2.2000000000000001E-3</v>
      </c>
      <c r="J135">
        <v>-5.0099999999999997E-3</v>
      </c>
      <c r="K135">
        <v>0</v>
      </c>
      <c r="L135">
        <v>-7.1700000000000002E-3</v>
      </c>
      <c r="M135">
        <v>0</v>
      </c>
      <c r="N135">
        <v>-5.0699999999999999E-3</v>
      </c>
      <c r="O135">
        <v>0</v>
      </c>
      <c r="P135">
        <v>0</v>
      </c>
      <c r="Q135">
        <v>-1.4999999999999999E-4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-1.48E-3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</row>
    <row r="136" spans="1:35" x14ac:dyDescent="0.25">
      <c r="A136" s="1">
        <v>43188</v>
      </c>
      <c r="B136" s="8">
        <v>-3.39E-2</v>
      </c>
      <c r="C136">
        <v>-1.9400000000000001E-2</v>
      </c>
      <c r="D136">
        <v>-2.6884498624825115E-2</v>
      </c>
      <c r="E136">
        <v>-5.8100000000000001E-3</v>
      </c>
      <c r="F136">
        <v>-4.3E-3</v>
      </c>
      <c r="G136">
        <v>-9.4800000000000006E-3</v>
      </c>
      <c r="H136">
        <v>-6.1999999999999998E-3</v>
      </c>
      <c r="I136">
        <v>-8.8000000000000003E-4</v>
      </c>
      <c r="J136">
        <v>-4.6899999999999997E-3</v>
      </c>
      <c r="K136">
        <v>0</v>
      </c>
      <c r="L136">
        <v>9.1699999999999993E-3</v>
      </c>
      <c r="M136">
        <v>0</v>
      </c>
      <c r="N136">
        <v>-2.64E-3</v>
      </c>
      <c r="O136">
        <v>0</v>
      </c>
      <c r="P136">
        <v>0</v>
      </c>
      <c r="Q136">
        <v>-4.79E-3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-4.3E-3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</row>
    <row r="137" spans="1:35" x14ac:dyDescent="0.25">
      <c r="A137" s="1">
        <v>43220</v>
      </c>
      <c r="B137" s="8">
        <v>9.9000000000000008E-3</v>
      </c>
      <c r="C137">
        <v>5.4000000000000003E-3</v>
      </c>
      <c r="D137">
        <v>2.718775131643536E-3</v>
      </c>
      <c r="E137">
        <v>-1.5E-3</v>
      </c>
      <c r="F137">
        <v>8.2100000000000003E-3</v>
      </c>
      <c r="G137">
        <v>1.73E-3</v>
      </c>
      <c r="H137">
        <v>-2.3000000000000001E-4</v>
      </c>
      <c r="I137">
        <v>-3.7299999999999998E-3</v>
      </c>
      <c r="J137">
        <v>-1.5200000000000001E-3</v>
      </c>
      <c r="K137">
        <v>0</v>
      </c>
      <c r="L137">
        <v>1.047E-2</v>
      </c>
      <c r="M137">
        <v>0</v>
      </c>
      <c r="N137">
        <v>-1.1E-4</v>
      </c>
      <c r="O137">
        <v>0</v>
      </c>
      <c r="P137">
        <v>0</v>
      </c>
      <c r="Q137">
        <v>-5.6999999999999998E-4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-2.8900000000000002E-3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</row>
    <row r="138" spans="1:35" x14ac:dyDescent="0.25">
      <c r="A138" s="1">
        <v>43251</v>
      </c>
      <c r="B138" s="8">
        <v>4.1799999999999997E-2</v>
      </c>
      <c r="C138">
        <v>2.52E-2</v>
      </c>
      <c r="D138">
        <v>2.1608341965291933E-2</v>
      </c>
      <c r="E138">
        <v>1.3520000000000001E-2</v>
      </c>
      <c r="F138">
        <v>4.0499999999999998E-3</v>
      </c>
      <c r="G138">
        <v>6.0899999999999999E-3</v>
      </c>
      <c r="H138">
        <v>-2.5400000000000002E-3</v>
      </c>
      <c r="I138">
        <v>2.4399999999999999E-3</v>
      </c>
      <c r="J138">
        <v>5.2300000000000003E-3</v>
      </c>
      <c r="K138">
        <v>0</v>
      </c>
      <c r="L138">
        <v>3.32E-3</v>
      </c>
      <c r="M138">
        <v>0</v>
      </c>
      <c r="N138">
        <v>-8.5999999999999998E-4</v>
      </c>
      <c r="O138">
        <v>0</v>
      </c>
      <c r="P138">
        <v>0</v>
      </c>
      <c r="Q138">
        <v>-1.6299999999999999E-3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1.2200000000000001E-2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</row>
    <row r="139" spans="1:35" x14ac:dyDescent="0.25">
      <c r="A139" s="1">
        <v>43280</v>
      </c>
      <c r="B139" s="8">
        <v>-2.1000000000000001E-2</v>
      </c>
      <c r="C139">
        <v>1.4E-3</v>
      </c>
      <c r="D139">
        <v>4.8424360241865472E-3</v>
      </c>
      <c r="E139">
        <v>-9.3999999999999997E-4</v>
      </c>
      <c r="F139">
        <v>4.3099999999999996E-3</v>
      </c>
      <c r="G139">
        <v>-4.7299999999999998E-3</v>
      </c>
      <c r="H139">
        <v>-2.9299999999999999E-3</v>
      </c>
      <c r="I139">
        <v>-6.0499999999999998E-3</v>
      </c>
      <c r="J139">
        <v>-1.069E-2</v>
      </c>
      <c r="K139">
        <v>0</v>
      </c>
      <c r="L139">
        <v>3.31E-3</v>
      </c>
      <c r="M139">
        <v>0</v>
      </c>
      <c r="N139">
        <v>5.3699999999999998E-3</v>
      </c>
      <c r="O139">
        <v>0</v>
      </c>
      <c r="P139">
        <v>0</v>
      </c>
      <c r="Q139">
        <v>-2.63E-3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-6.0600000000000003E-3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</row>
    <row r="140" spans="1:35" x14ac:dyDescent="0.25">
      <c r="A140" s="1">
        <v>43312</v>
      </c>
      <c r="B140" s="8">
        <v>5.79E-2</v>
      </c>
      <c r="C140">
        <v>4.2500000000000003E-2</v>
      </c>
      <c r="D140">
        <v>3.6021556221367268E-2</v>
      </c>
      <c r="E140">
        <v>2.8E-3</v>
      </c>
      <c r="F140">
        <v>4.5700000000000003E-3</v>
      </c>
      <c r="G140">
        <v>6.1999999999999998E-3</v>
      </c>
      <c r="H140">
        <v>9.5399999999999999E-3</v>
      </c>
      <c r="I140">
        <v>7.5000000000000002E-4</v>
      </c>
      <c r="J140">
        <v>6.6299999999999996E-3</v>
      </c>
      <c r="K140">
        <v>0</v>
      </c>
      <c r="L140">
        <v>4.0699999999999998E-3</v>
      </c>
      <c r="M140">
        <v>0</v>
      </c>
      <c r="N140">
        <v>9.1500000000000001E-3</v>
      </c>
      <c r="O140">
        <v>0</v>
      </c>
      <c r="P140">
        <v>0</v>
      </c>
      <c r="Q140">
        <v>1.085E-2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3.3600000000000001E-3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</row>
    <row r="141" spans="1:35" x14ac:dyDescent="0.25">
      <c r="A141" s="1">
        <v>43343</v>
      </c>
      <c r="B141" s="8">
        <v>3.6700000000000003E-2</v>
      </c>
      <c r="C141">
        <v>1.8200000000000001E-2</v>
      </c>
      <c r="D141">
        <v>3.0263211466054596E-2</v>
      </c>
      <c r="E141">
        <v>2.001E-2</v>
      </c>
      <c r="F141">
        <v>1.324E-2</v>
      </c>
      <c r="G141">
        <v>-3.31E-3</v>
      </c>
      <c r="H141">
        <v>1.6000000000000001E-4</v>
      </c>
      <c r="I141">
        <v>-4.7099999999999998E-3</v>
      </c>
      <c r="J141">
        <v>-3.4399999999999999E-3</v>
      </c>
      <c r="K141">
        <v>0</v>
      </c>
      <c r="L141">
        <v>1.75E-3</v>
      </c>
      <c r="M141">
        <v>0</v>
      </c>
      <c r="N141">
        <v>-1.3600000000000001E-3</v>
      </c>
      <c r="O141">
        <v>0</v>
      </c>
      <c r="P141">
        <v>0</v>
      </c>
      <c r="Q141">
        <v>-3.2000000000000003E-4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1.469E-2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</row>
    <row r="142" spans="1:35" x14ac:dyDescent="0.25">
      <c r="A142" s="1">
        <v>43371</v>
      </c>
      <c r="B142" s="8">
        <v>2.0199999999999999E-2</v>
      </c>
      <c r="C142">
        <v>1.44E-2</v>
      </c>
      <c r="D142">
        <v>4.2942871026614426E-3</v>
      </c>
      <c r="E142">
        <v>-8.3000000000000001E-4</v>
      </c>
      <c r="F142">
        <v>-4.8000000000000001E-4</v>
      </c>
      <c r="G142">
        <v>8.4899999999999993E-3</v>
      </c>
      <c r="H142">
        <v>-4.2700000000000004E-3</v>
      </c>
      <c r="I142">
        <v>-9.6000000000000002E-4</v>
      </c>
      <c r="J142">
        <v>9.8200000000000006E-3</v>
      </c>
      <c r="K142">
        <v>0</v>
      </c>
      <c r="L142">
        <v>5.4099999999999999E-3</v>
      </c>
      <c r="M142">
        <v>0</v>
      </c>
      <c r="N142">
        <v>4.3899999999999998E-3</v>
      </c>
      <c r="O142">
        <v>0</v>
      </c>
      <c r="P142">
        <v>0</v>
      </c>
      <c r="Q142">
        <v>-1.5200000000000001E-3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1.2E-4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</row>
    <row r="143" spans="1:35" x14ac:dyDescent="0.25">
      <c r="A143" s="1">
        <v>43404</v>
      </c>
      <c r="B143" s="8">
        <v>-0.10580000000000001</v>
      </c>
      <c r="C143">
        <v>-6.8599999999999994E-2</v>
      </c>
      <c r="D143">
        <v>-6.9403356024429486E-2</v>
      </c>
      <c r="E143">
        <v>-3.0500000000000002E-3</v>
      </c>
      <c r="F143">
        <v>-2.0219999999999998E-2</v>
      </c>
      <c r="G143">
        <v>-4.5799999999999999E-3</v>
      </c>
      <c r="H143">
        <v>-6.6499999999999997E-3</v>
      </c>
      <c r="I143">
        <v>-1.2710000000000001E-2</v>
      </c>
      <c r="J143">
        <v>-1.9879999999999998E-2</v>
      </c>
      <c r="K143">
        <v>0</v>
      </c>
      <c r="L143">
        <v>-9.2999999999999992E-3</v>
      </c>
      <c r="M143">
        <v>0</v>
      </c>
      <c r="N143">
        <v>-1.8E-3</v>
      </c>
      <c r="O143">
        <v>0</v>
      </c>
      <c r="P143">
        <v>0</v>
      </c>
      <c r="Q143">
        <v>-2.6800000000000001E-3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-2.4979999999999999E-2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</row>
    <row r="144" spans="1:35" x14ac:dyDescent="0.25">
      <c r="A144" s="1">
        <v>43434</v>
      </c>
      <c r="B144" s="8">
        <v>-2.01E-2</v>
      </c>
      <c r="C144">
        <v>1.6E-2</v>
      </c>
      <c r="D144">
        <v>1.7859356788848979E-2</v>
      </c>
      <c r="E144">
        <v>-1.8069999999999999E-2</v>
      </c>
      <c r="F144">
        <v>5.77E-3</v>
      </c>
      <c r="G144">
        <v>-1.8E-3</v>
      </c>
      <c r="H144">
        <v>3.2699999999999999E-3</v>
      </c>
      <c r="I144">
        <v>4.0299999999999997E-3</v>
      </c>
      <c r="J144">
        <v>1.183E-2</v>
      </c>
      <c r="K144">
        <v>0</v>
      </c>
      <c r="L144">
        <v>-5.3200000000000001E-3</v>
      </c>
      <c r="M144">
        <v>0</v>
      </c>
      <c r="N144">
        <v>5.6999999999999998E-4</v>
      </c>
      <c r="O144">
        <v>0</v>
      </c>
      <c r="P144">
        <v>0</v>
      </c>
      <c r="Q144">
        <v>1.99E-3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-2.2409999999999999E-2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</row>
    <row r="145" spans="1:35" x14ac:dyDescent="0.25">
      <c r="A145" s="1">
        <v>43465</v>
      </c>
      <c r="B145" s="8">
        <v>-9.69E-2</v>
      </c>
      <c r="C145">
        <v>-7.9899999999999999E-2</v>
      </c>
      <c r="D145">
        <v>-9.1776894596563907E-2</v>
      </c>
      <c r="E145">
        <v>-1.167E-2</v>
      </c>
      <c r="F145">
        <v>-1.1140000000000001E-2</v>
      </c>
      <c r="G145">
        <v>-7.0000000000000001E-3</v>
      </c>
      <c r="H145">
        <v>-1.2710000000000001E-2</v>
      </c>
      <c r="I145">
        <v>-7.4900000000000001E-3</v>
      </c>
      <c r="J145">
        <v>-6.3400000000000001E-3</v>
      </c>
      <c r="K145">
        <v>0</v>
      </c>
      <c r="L145">
        <v>-5.79E-3</v>
      </c>
      <c r="M145">
        <v>0</v>
      </c>
      <c r="N145">
        <v>-4.2900000000000004E-3</v>
      </c>
      <c r="O145">
        <v>0</v>
      </c>
      <c r="P145">
        <v>0</v>
      </c>
      <c r="Q145">
        <v>-1.2200000000000001E-2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-1.831E-2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</row>
    <row r="146" spans="1:35" x14ac:dyDescent="0.25">
      <c r="A146" s="1">
        <v>43496</v>
      </c>
      <c r="B146" s="8">
        <v>8.0299999999999996E-2</v>
      </c>
      <c r="C146">
        <v>7.6399999999999996E-2</v>
      </c>
      <c r="D146">
        <v>7.8684401655036762E-2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-1.7099999999999999E-3</v>
      </c>
      <c r="N146">
        <v>0</v>
      </c>
      <c r="O146">
        <v>3.4209999999999997E-2</v>
      </c>
      <c r="P146">
        <v>3.1199999999999999E-3</v>
      </c>
      <c r="Q146">
        <v>0</v>
      </c>
      <c r="R146">
        <v>1.65E-3</v>
      </c>
      <c r="S146">
        <v>6.8000000000000005E-4</v>
      </c>
      <c r="T146">
        <v>0</v>
      </c>
      <c r="U146">
        <v>0</v>
      </c>
      <c r="V146">
        <v>1.044E-2</v>
      </c>
      <c r="W146">
        <v>0</v>
      </c>
      <c r="X146">
        <v>0</v>
      </c>
      <c r="Y146">
        <v>0</v>
      </c>
      <c r="Z146">
        <v>0</v>
      </c>
      <c r="AA146">
        <v>5.7299999999999999E-3</v>
      </c>
      <c r="AB146">
        <v>1.0659999999999999E-2</v>
      </c>
      <c r="AC146">
        <v>8.4100000000000008E-3</v>
      </c>
      <c r="AD146">
        <v>7.11E-3</v>
      </c>
      <c r="AE146">
        <v>0</v>
      </c>
      <c r="AF146">
        <v>0</v>
      </c>
      <c r="AG146">
        <v>0</v>
      </c>
      <c r="AH146">
        <v>0</v>
      </c>
      <c r="AI146">
        <v>0</v>
      </c>
    </row>
    <row r="147" spans="1:35" x14ac:dyDescent="0.25">
      <c r="A147" s="1">
        <v>43524</v>
      </c>
      <c r="B147" s="8">
        <v>2.8500000000000001E-2</v>
      </c>
      <c r="C147">
        <v>3.3599999999999998E-2</v>
      </c>
      <c r="D147">
        <v>2.9728889126352298E-2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6.79E-3</v>
      </c>
      <c r="N147">
        <v>0</v>
      </c>
      <c r="O147">
        <v>6.1700000000000001E-3</v>
      </c>
      <c r="P147">
        <v>3.3500000000000001E-3</v>
      </c>
      <c r="Q147">
        <v>0</v>
      </c>
      <c r="R147">
        <v>-5.7999999999999996E-3</v>
      </c>
      <c r="S147">
        <v>3.48E-3</v>
      </c>
      <c r="T147">
        <v>0</v>
      </c>
      <c r="U147">
        <v>0</v>
      </c>
      <c r="V147">
        <v>4.7000000000000002E-3</v>
      </c>
      <c r="W147">
        <v>0</v>
      </c>
      <c r="X147">
        <v>0</v>
      </c>
      <c r="Y147">
        <v>0</v>
      </c>
      <c r="Z147">
        <v>0</v>
      </c>
      <c r="AA147">
        <v>2.16E-3</v>
      </c>
      <c r="AB147">
        <v>3.48E-3</v>
      </c>
      <c r="AC147">
        <v>5.9999999999999995E-4</v>
      </c>
      <c r="AD147">
        <v>3.5300000000000002E-3</v>
      </c>
      <c r="AE147">
        <v>0</v>
      </c>
      <c r="AF147">
        <v>0</v>
      </c>
      <c r="AG147">
        <v>0</v>
      </c>
      <c r="AH147">
        <v>0</v>
      </c>
      <c r="AI147">
        <v>0</v>
      </c>
    </row>
    <row r="148" spans="1:35" x14ac:dyDescent="0.25">
      <c r="A148" s="1">
        <v>43553</v>
      </c>
      <c r="B148" s="8">
        <v>1.9E-2</v>
      </c>
      <c r="C148">
        <v>1.41E-2</v>
      </c>
      <c r="D148">
        <v>1.7924256211817147E-2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3.47E-3</v>
      </c>
      <c r="N148">
        <v>0</v>
      </c>
      <c r="O148">
        <v>-3.7499999999999999E-3</v>
      </c>
      <c r="P148">
        <v>2.31E-3</v>
      </c>
      <c r="Q148">
        <v>0</v>
      </c>
      <c r="R148">
        <v>4.2300000000000003E-3</v>
      </c>
      <c r="S148">
        <v>3.3E-3</v>
      </c>
      <c r="T148">
        <v>0</v>
      </c>
      <c r="U148">
        <v>0</v>
      </c>
      <c r="V148">
        <v>-1.5200000000000001E-3</v>
      </c>
      <c r="W148">
        <v>0</v>
      </c>
      <c r="X148">
        <v>0</v>
      </c>
      <c r="Y148">
        <v>0</v>
      </c>
      <c r="Z148">
        <v>0</v>
      </c>
      <c r="AA148">
        <v>5.5799999999999999E-3</v>
      </c>
      <c r="AB148">
        <v>4.0000000000000001E-3</v>
      </c>
      <c r="AC148">
        <v>5.8E-4</v>
      </c>
      <c r="AD148">
        <v>7.6999999999999996E-4</v>
      </c>
      <c r="AE148">
        <v>0</v>
      </c>
      <c r="AF148">
        <v>0</v>
      </c>
      <c r="AG148">
        <v>0</v>
      </c>
      <c r="AH148">
        <v>0</v>
      </c>
      <c r="AI148">
        <v>0</v>
      </c>
    </row>
    <row r="149" spans="1:35" x14ac:dyDescent="0.25">
      <c r="A149" s="1">
        <v>43585</v>
      </c>
      <c r="B149" s="8">
        <v>1.9099999999999999E-2</v>
      </c>
      <c r="C149">
        <v>3.1300000000000001E-2</v>
      </c>
      <c r="D149">
        <v>3.9313498395682656E-2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1.58E-3</v>
      </c>
      <c r="N149">
        <v>0</v>
      </c>
      <c r="O149">
        <v>1.8E-3</v>
      </c>
      <c r="P149">
        <v>1.01E-3</v>
      </c>
      <c r="Q149">
        <v>0</v>
      </c>
      <c r="R149">
        <v>4.6899999999999997E-3</v>
      </c>
      <c r="S149">
        <v>4.0400000000000002E-3</v>
      </c>
      <c r="T149">
        <v>0</v>
      </c>
      <c r="U149">
        <v>0</v>
      </c>
      <c r="V149">
        <v>4.3E-3</v>
      </c>
      <c r="W149">
        <v>0</v>
      </c>
      <c r="X149">
        <v>0</v>
      </c>
      <c r="Y149">
        <v>0</v>
      </c>
      <c r="Z149">
        <v>0</v>
      </c>
      <c r="AA149">
        <v>3.0500000000000002E-3</v>
      </c>
      <c r="AB149">
        <v>2.98E-3</v>
      </c>
      <c r="AC149">
        <v>-4.6699999999999997E-3</v>
      </c>
      <c r="AD149">
        <v>3.5E-4</v>
      </c>
      <c r="AE149">
        <v>0</v>
      </c>
      <c r="AF149">
        <v>0</v>
      </c>
      <c r="AG149">
        <v>0</v>
      </c>
      <c r="AH149">
        <v>0</v>
      </c>
      <c r="AI149">
        <v>0</v>
      </c>
    </row>
    <row r="150" spans="1:35" x14ac:dyDescent="0.25">
      <c r="A150" s="1">
        <v>43616</v>
      </c>
      <c r="B150" s="8">
        <v>-3.6299999999999999E-2</v>
      </c>
      <c r="C150">
        <v>-6.9000000000000006E-2</v>
      </c>
      <c r="D150">
        <v>-6.577773118928687E-2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-3.4499999999999999E-3</v>
      </c>
      <c r="N150">
        <v>0</v>
      </c>
      <c r="O150">
        <v>-7.1799999999999998E-3</v>
      </c>
      <c r="P150">
        <v>-6.4400000000000004E-3</v>
      </c>
      <c r="Q150">
        <v>0</v>
      </c>
      <c r="R150">
        <v>1.3999999999999999E-4</v>
      </c>
      <c r="S150">
        <v>9.3999999999999997E-4</v>
      </c>
      <c r="T150">
        <v>0</v>
      </c>
      <c r="U150">
        <v>0</v>
      </c>
      <c r="V150">
        <v>-1.192E-2</v>
      </c>
      <c r="W150">
        <v>0</v>
      </c>
      <c r="X150">
        <v>0</v>
      </c>
      <c r="Y150">
        <v>0</v>
      </c>
      <c r="Z150">
        <v>0</v>
      </c>
      <c r="AA150">
        <v>-3.3500000000000001E-3</v>
      </c>
      <c r="AB150">
        <v>1.6900000000000001E-3</v>
      </c>
      <c r="AC150">
        <v>-5.4999999999999997E-3</v>
      </c>
      <c r="AD150">
        <v>-1.23E-3</v>
      </c>
      <c r="AE150">
        <v>0</v>
      </c>
      <c r="AF150">
        <v>0</v>
      </c>
      <c r="AG150">
        <v>0</v>
      </c>
      <c r="AH150">
        <v>0</v>
      </c>
      <c r="AI150">
        <v>0</v>
      </c>
    </row>
    <row r="151" spans="1:35" x14ac:dyDescent="0.25">
      <c r="A151" s="1">
        <v>43644</v>
      </c>
      <c r="B151" s="8">
        <v>5.7599999999999998E-2</v>
      </c>
      <c r="C151">
        <v>7.2999999999999995E-2</v>
      </c>
      <c r="D151">
        <v>6.8930163925612131E-2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4.0699999999999998E-3</v>
      </c>
      <c r="N151">
        <v>0</v>
      </c>
      <c r="O151">
        <v>1.133E-2</v>
      </c>
      <c r="P151">
        <v>6.1999999999999998E-3</v>
      </c>
      <c r="Q151">
        <v>0</v>
      </c>
      <c r="R151">
        <v>4.4600000000000004E-3</v>
      </c>
      <c r="S151">
        <v>4.7400000000000003E-3</v>
      </c>
      <c r="T151">
        <v>0</v>
      </c>
      <c r="U151">
        <v>0</v>
      </c>
      <c r="V151">
        <v>8.8299999999999993E-3</v>
      </c>
      <c r="W151">
        <v>0</v>
      </c>
      <c r="X151">
        <v>0</v>
      </c>
      <c r="Y151">
        <v>0</v>
      </c>
      <c r="Z151">
        <v>0</v>
      </c>
      <c r="AA151">
        <v>6.5500000000000003E-3</v>
      </c>
      <c r="AB151">
        <v>3.3300000000000001E-3</v>
      </c>
      <c r="AC151">
        <v>-1.4400000000000001E-3</v>
      </c>
      <c r="AD151">
        <v>9.58E-3</v>
      </c>
      <c r="AE151">
        <v>0</v>
      </c>
      <c r="AF151">
        <v>0</v>
      </c>
      <c r="AG151">
        <v>0</v>
      </c>
      <c r="AH151">
        <v>0</v>
      </c>
      <c r="AI151">
        <v>0</v>
      </c>
    </row>
    <row r="152" spans="1:35" x14ac:dyDescent="0.25">
      <c r="A152" s="1">
        <v>43677</v>
      </c>
      <c r="B152" s="8">
        <v>1.11E-2</v>
      </c>
      <c r="C152">
        <v>1.54E-2</v>
      </c>
      <c r="D152">
        <v>1.3128152149977756E-2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-3.9199999999999999E-3</v>
      </c>
      <c r="N152">
        <v>0</v>
      </c>
      <c r="O152">
        <v>-4.8000000000000001E-4</v>
      </c>
      <c r="P152">
        <v>-6.4999999999999997E-3</v>
      </c>
      <c r="Q152">
        <v>0</v>
      </c>
      <c r="R152">
        <v>3.3600000000000001E-3</v>
      </c>
      <c r="S152">
        <v>1.47E-3</v>
      </c>
      <c r="T152">
        <v>0</v>
      </c>
      <c r="U152">
        <v>0</v>
      </c>
      <c r="V152">
        <v>2.48E-3</v>
      </c>
      <c r="W152">
        <v>0</v>
      </c>
      <c r="X152">
        <v>0</v>
      </c>
      <c r="Y152">
        <v>0</v>
      </c>
      <c r="Z152">
        <v>0</v>
      </c>
      <c r="AA152">
        <v>8.3300000000000006E-3</v>
      </c>
      <c r="AB152">
        <v>1.66E-3</v>
      </c>
      <c r="AC152">
        <v>1.5299999999999999E-3</v>
      </c>
      <c r="AD152">
        <v>3.13E-3</v>
      </c>
      <c r="AE152">
        <v>0</v>
      </c>
      <c r="AF152">
        <v>0</v>
      </c>
      <c r="AG152">
        <v>0</v>
      </c>
      <c r="AH152">
        <v>0</v>
      </c>
      <c r="AI152">
        <v>0</v>
      </c>
    </row>
    <row r="153" spans="1:35" x14ac:dyDescent="0.25">
      <c r="A153" s="1">
        <v>43707</v>
      </c>
      <c r="B153" s="8">
        <v>-6.8999999999999999E-3</v>
      </c>
      <c r="C153">
        <v>-2.7699999999999999E-2</v>
      </c>
      <c r="D153">
        <v>-1.8091627281326739E-2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4.4999999999999997E-3</v>
      </c>
      <c r="N153">
        <v>0</v>
      </c>
      <c r="O153">
        <v>-2.1049999999999999E-2</v>
      </c>
      <c r="P153">
        <v>-6.9999999999999999E-4</v>
      </c>
      <c r="Q153">
        <v>0</v>
      </c>
      <c r="R153">
        <v>4.5799999999999999E-3</v>
      </c>
      <c r="S153">
        <v>3.9899999999999996E-3</v>
      </c>
      <c r="T153">
        <v>0</v>
      </c>
      <c r="U153">
        <v>0</v>
      </c>
      <c r="V153">
        <v>-1.5200000000000001E-3</v>
      </c>
      <c r="W153">
        <v>0</v>
      </c>
      <c r="X153">
        <v>0</v>
      </c>
      <c r="Y153">
        <v>0</v>
      </c>
      <c r="Z153">
        <v>0</v>
      </c>
      <c r="AA153">
        <v>1.8600000000000001E-3</v>
      </c>
      <c r="AB153">
        <v>4.7699999999999999E-3</v>
      </c>
      <c r="AC153">
        <v>-6.8799999999999998E-3</v>
      </c>
      <c r="AD153">
        <v>3.5500000000000002E-3</v>
      </c>
      <c r="AE153">
        <v>0</v>
      </c>
      <c r="AF153">
        <v>0</v>
      </c>
      <c r="AG153">
        <v>0</v>
      </c>
      <c r="AH153">
        <v>0</v>
      </c>
      <c r="AI153">
        <v>0</v>
      </c>
    </row>
    <row r="154" spans="1:35" x14ac:dyDescent="0.25">
      <c r="A154" s="1">
        <v>43738</v>
      </c>
      <c r="B154" s="8">
        <v>4.5400000000000003E-2</v>
      </c>
      <c r="C154">
        <v>3.6299999999999999E-2</v>
      </c>
      <c r="D154">
        <v>1.7181177829208583E-2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5.5700000000000003E-3</v>
      </c>
      <c r="N154">
        <v>0</v>
      </c>
      <c r="O154">
        <v>8.4799999999999997E-3</v>
      </c>
      <c r="P154">
        <v>7.9000000000000001E-4</v>
      </c>
      <c r="Q154">
        <v>0</v>
      </c>
      <c r="R154">
        <v>-3.6000000000000002E-4</v>
      </c>
      <c r="S154">
        <v>-1.5E-3</v>
      </c>
      <c r="T154">
        <v>0</v>
      </c>
      <c r="U154">
        <v>0</v>
      </c>
      <c r="V154">
        <v>1.115E-2</v>
      </c>
      <c r="W154">
        <v>0</v>
      </c>
      <c r="X154">
        <v>0</v>
      </c>
      <c r="Y154">
        <v>0</v>
      </c>
      <c r="Z154">
        <v>0</v>
      </c>
      <c r="AA154">
        <v>3.4499999999999999E-3</v>
      </c>
      <c r="AB154">
        <v>6.0200000000000002E-3</v>
      </c>
      <c r="AC154">
        <v>4.5100000000000001E-3</v>
      </c>
      <c r="AD154">
        <v>7.3200000000000001E-3</v>
      </c>
      <c r="AE154">
        <v>0</v>
      </c>
      <c r="AF154">
        <v>0</v>
      </c>
      <c r="AG154">
        <v>0</v>
      </c>
      <c r="AH154">
        <v>0</v>
      </c>
      <c r="AI154">
        <v>0</v>
      </c>
    </row>
    <row r="155" spans="1:35" x14ac:dyDescent="0.25">
      <c r="A155" s="1">
        <v>43769</v>
      </c>
      <c r="B155" s="8">
        <v>4.4999999999999997E-3</v>
      </c>
      <c r="C155">
        <v>1.6299999999999999E-2</v>
      </c>
      <c r="D155">
        <v>2.0431770730503063E-2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1.8600000000000001E-3</v>
      </c>
      <c r="N155">
        <v>0</v>
      </c>
      <c r="O155">
        <v>1.163E-2</v>
      </c>
      <c r="P155">
        <v>2.0600000000000002E-3</v>
      </c>
      <c r="Q155">
        <v>0</v>
      </c>
      <c r="R155" s="2">
        <v>-2.0000000000000002E-5</v>
      </c>
      <c r="S155">
        <v>-8.3899999999999999E-3</v>
      </c>
      <c r="T155">
        <v>0</v>
      </c>
      <c r="U155">
        <v>0</v>
      </c>
      <c r="V155">
        <v>-4.6499999999999996E-3</v>
      </c>
      <c r="W155">
        <v>0</v>
      </c>
      <c r="X155">
        <v>0</v>
      </c>
      <c r="Y155">
        <v>0</v>
      </c>
      <c r="Z155">
        <v>0</v>
      </c>
      <c r="AA155">
        <v>6.9999999999999999E-4</v>
      </c>
      <c r="AB155">
        <v>1.4400000000000001E-3</v>
      </c>
      <c r="AC155">
        <v>-3.1900000000000001E-3</v>
      </c>
      <c r="AD155">
        <v>3.0699999999999998E-3</v>
      </c>
      <c r="AE155">
        <v>0</v>
      </c>
      <c r="AF155">
        <v>0</v>
      </c>
      <c r="AG155">
        <v>0</v>
      </c>
      <c r="AH155">
        <v>0</v>
      </c>
      <c r="AI155">
        <v>0</v>
      </c>
    </row>
    <row r="156" spans="1:35" x14ac:dyDescent="0.25">
      <c r="A156" s="1">
        <v>43798</v>
      </c>
      <c r="B156" s="8">
        <v>1.83E-2</v>
      </c>
      <c r="C156">
        <v>3.8199999999999998E-2</v>
      </c>
      <c r="D156">
        <v>3.4047037421886195E-2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6.8000000000000005E-4</v>
      </c>
      <c r="N156">
        <v>0</v>
      </c>
      <c r="O156">
        <v>1.2930000000000001E-2</v>
      </c>
      <c r="P156">
        <v>4.8500000000000001E-3</v>
      </c>
      <c r="Q156">
        <v>0</v>
      </c>
      <c r="R156">
        <v>-1.16E-3</v>
      </c>
      <c r="S156">
        <v>-4.8999999999999998E-4</v>
      </c>
      <c r="T156">
        <v>0</v>
      </c>
      <c r="U156">
        <v>0</v>
      </c>
      <c r="V156">
        <v>4.6699999999999997E-3</v>
      </c>
      <c r="W156">
        <v>0</v>
      </c>
      <c r="X156">
        <v>0</v>
      </c>
      <c r="Y156">
        <v>0</v>
      </c>
      <c r="Z156">
        <v>0</v>
      </c>
      <c r="AA156">
        <v>-1.97E-3</v>
      </c>
      <c r="AB156" s="2">
        <v>-8.0000000000000007E-5</v>
      </c>
      <c r="AC156">
        <v>1.75E-3</v>
      </c>
      <c r="AD156">
        <v>-2.8800000000000002E-3</v>
      </c>
      <c r="AE156">
        <v>0</v>
      </c>
      <c r="AF156">
        <v>0</v>
      </c>
      <c r="AG156">
        <v>0</v>
      </c>
      <c r="AH156">
        <v>0</v>
      </c>
      <c r="AI156">
        <v>0</v>
      </c>
    </row>
    <row r="157" spans="1:35" x14ac:dyDescent="0.25">
      <c r="A157" s="1">
        <v>43830</v>
      </c>
      <c r="B157" s="8">
        <v>2.7699999999999999E-2</v>
      </c>
      <c r="C157">
        <v>3.0300000000000001E-2</v>
      </c>
      <c r="D157">
        <v>2.8589818964716907E-2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7.6000000000000004E-4</v>
      </c>
      <c r="N157">
        <v>0</v>
      </c>
      <c r="O157">
        <v>-8.8999999999999995E-4</v>
      </c>
      <c r="P157">
        <v>6.1000000000000004E-3</v>
      </c>
      <c r="Q157">
        <v>0</v>
      </c>
      <c r="R157">
        <v>3.65E-3</v>
      </c>
      <c r="S157">
        <v>1.6100000000000001E-3</v>
      </c>
      <c r="T157">
        <v>0</v>
      </c>
      <c r="U157">
        <v>0</v>
      </c>
      <c r="V157">
        <v>8.3599999999999994E-3</v>
      </c>
      <c r="W157">
        <v>0</v>
      </c>
      <c r="X157">
        <v>0</v>
      </c>
      <c r="Y157">
        <v>0</v>
      </c>
      <c r="Z157">
        <v>0</v>
      </c>
      <c r="AA157">
        <v>2.33E-3</v>
      </c>
      <c r="AB157">
        <v>2.7599999999999999E-3</v>
      </c>
      <c r="AC157">
        <v>-1.49E-3</v>
      </c>
      <c r="AD157">
        <v>4.5500000000000002E-3</v>
      </c>
      <c r="AE157">
        <v>0</v>
      </c>
      <c r="AF157">
        <v>0</v>
      </c>
      <c r="AG157">
        <v>0</v>
      </c>
      <c r="AH157">
        <v>0</v>
      </c>
      <c r="AI157">
        <v>0</v>
      </c>
    </row>
    <row r="158" spans="1:35" x14ac:dyDescent="0.25">
      <c r="A158" s="1">
        <v>43861</v>
      </c>
      <c r="B158" s="8">
        <v>-8.0000000000000002E-3</v>
      </c>
      <c r="C158">
        <v>-8.0999999999999996E-3</v>
      </c>
      <c r="D158">
        <v>-1.6280925822201864E-3</v>
      </c>
      <c r="E158">
        <v>5.4000000000000003E-3</v>
      </c>
      <c r="F158">
        <v>8.7100000000000007E-3</v>
      </c>
      <c r="G158">
        <v>-2.3E-3</v>
      </c>
      <c r="H158">
        <v>-6.79E-3</v>
      </c>
      <c r="I158">
        <v>4.8999999999999998E-3</v>
      </c>
      <c r="J158">
        <v>-1.0359999999999999E-2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-4.4000000000000003E-3</v>
      </c>
      <c r="R158">
        <v>0</v>
      </c>
      <c r="S158">
        <v>0</v>
      </c>
      <c r="T158">
        <v>0</v>
      </c>
      <c r="U158">
        <v>7.9500000000000005E-3</v>
      </c>
      <c r="V158">
        <v>0</v>
      </c>
      <c r="W158">
        <v>0</v>
      </c>
      <c r="X158">
        <v>4.8000000000000001E-4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-1.157E-2</v>
      </c>
      <c r="AH158">
        <v>0</v>
      </c>
      <c r="AI158">
        <v>0</v>
      </c>
    </row>
    <row r="159" spans="1:35" x14ac:dyDescent="0.25">
      <c r="A159" s="1">
        <v>43889</v>
      </c>
      <c r="B159" s="8">
        <v>-7.5499999999999998E-2</v>
      </c>
      <c r="C159">
        <v>-9.2499999999999999E-2</v>
      </c>
      <c r="D159">
        <v>-8.411048367946572E-2</v>
      </c>
      <c r="E159">
        <v>-1.1429999999999999E-2</v>
      </c>
      <c r="F159">
        <v>-6.2199999999999998E-3</v>
      </c>
      <c r="G159">
        <v>-1.2919999999999999E-2</v>
      </c>
      <c r="H159">
        <v>-1.319E-2</v>
      </c>
      <c r="I159">
        <v>-1.2200000000000001E-2</v>
      </c>
      <c r="J159">
        <v>-5.4099999999999999E-3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-1.2279999999999999E-2</v>
      </c>
      <c r="R159">
        <v>0</v>
      </c>
      <c r="S159">
        <v>0</v>
      </c>
      <c r="T159">
        <v>0</v>
      </c>
      <c r="U159">
        <v>-4.5300000000000002E-3</v>
      </c>
      <c r="V159">
        <v>0</v>
      </c>
      <c r="W159">
        <v>0</v>
      </c>
      <c r="X159">
        <v>1.43E-2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-1.1610000000000001E-2</v>
      </c>
      <c r="AH159">
        <v>0</v>
      </c>
      <c r="AI159">
        <v>0</v>
      </c>
    </row>
    <row r="160" spans="1:35" x14ac:dyDescent="0.25">
      <c r="A160" s="1">
        <v>43921</v>
      </c>
      <c r="B160" s="8">
        <v>-0.10920000000000001</v>
      </c>
      <c r="C160">
        <v>-0.14729999999999999</v>
      </c>
      <c r="D160">
        <v>-0.12511928245982329</v>
      </c>
      <c r="E160">
        <v>-6.9800000000000001E-3</v>
      </c>
      <c r="F160">
        <v>3.5000000000000001E-3</v>
      </c>
      <c r="G160">
        <v>-4.5789999999999997E-2</v>
      </c>
      <c r="H160">
        <v>-2.4879999999999999E-2</v>
      </c>
      <c r="I160">
        <v>-4.1900000000000001E-3</v>
      </c>
      <c r="J160">
        <v>-6.6E-3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-2.2460000000000001E-2</v>
      </c>
      <c r="R160">
        <v>0</v>
      </c>
      <c r="S160">
        <v>0</v>
      </c>
      <c r="T160">
        <v>0</v>
      </c>
      <c r="U160">
        <v>-2.65E-3</v>
      </c>
      <c r="V160">
        <v>0</v>
      </c>
      <c r="W160">
        <v>0</v>
      </c>
      <c r="X160">
        <v>-2.3999999999999998E-3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3.2399999999999998E-3</v>
      </c>
      <c r="AH160">
        <v>0</v>
      </c>
      <c r="AI160">
        <v>0</v>
      </c>
    </row>
    <row r="161" spans="1:35" x14ac:dyDescent="0.25">
      <c r="A161" s="1">
        <v>43951</v>
      </c>
      <c r="B161" s="8">
        <v>9.8799999999999999E-2</v>
      </c>
      <c r="C161">
        <v>0.1164</v>
      </c>
      <c r="D161">
        <v>0.12684403825663826</v>
      </c>
      <c r="E161">
        <v>1.554E-2</v>
      </c>
      <c r="F161">
        <v>2.6890000000000001E-2</v>
      </c>
      <c r="G161">
        <v>-5.4400000000000004E-3</v>
      </c>
      <c r="H161">
        <v>1.328E-2</v>
      </c>
      <c r="I161">
        <v>1.4109999999999999E-2</v>
      </c>
      <c r="J161">
        <v>1.1800000000000001E-3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7.3600000000000002E-3</v>
      </c>
      <c r="R161">
        <v>0</v>
      </c>
      <c r="S161">
        <v>0</v>
      </c>
      <c r="T161">
        <v>0</v>
      </c>
      <c r="U161">
        <v>1.363E-2</v>
      </c>
      <c r="V161">
        <v>0</v>
      </c>
      <c r="W161">
        <v>0</v>
      </c>
      <c r="X161">
        <v>1.0880000000000001E-2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1.33E-3</v>
      </c>
      <c r="AH161">
        <v>0</v>
      </c>
      <c r="AI161">
        <v>0</v>
      </c>
    </row>
    <row r="162" spans="1:35" x14ac:dyDescent="0.25">
      <c r="A162" s="1">
        <v>43980</v>
      </c>
      <c r="B162" s="8">
        <v>5.1499999999999997E-2</v>
      </c>
      <c r="C162">
        <v>1.7000000000000001E-2</v>
      </c>
      <c r="D162">
        <v>4.5281819676065593E-2</v>
      </c>
      <c r="E162">
        <v>8.5000000000000006E-3</v>
      </c>
      <c r="F162">
        <v>-1.2800000000000001E-3</v>
      </c>
      <c r="G162">
        <v>3.4299999999999999E-3</v>
      </c>
      <c r="H162">
        <v>2.9E-4</v>
      </c>
      <c r="I162">
        <v>5.3E-3</v>
      </c>
      <c r="J162">
        <v>3.2200000000000002E-3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1.6199999999999999E-3</v>
      </c>
      <c r="R162">
        <v>0</v>
      </c>
      <c r="S162">
        <v>0</v>
      </c>
      <c r="T162">
        <v>0</v>
      </c>
      <c r="U162">
        <v>2.5400000000000002E-3</v>
      </c>
      <c r="V162">
        <v>0</v>
      </c>
      <c r="W162">
        <v>0</v>
      </c>
      <c r="X162">
        <v>2.147E-2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6.4000000000000003E-3</v>
      </c>
      <c r="AH162">
        <v>0</v>
      </c>
      <c r="AI162">
        <v>0</v>
      </c>
    </row>
    <row r="163" spans="1:35" x14ac:dyDescent="0.25">
      <c r="A163" s="1">
        <v>44012</v>
      </c>
      <c r="B163" s="8">
        <v>8.7800000000000003E-2</v>
      </c>
      <c r="C163">
        <v>3.8399999999999997E-2</v>
      </c>
      <c r="D163">
        <v>1.8388396357494674E-2</v>
      </c>
      <c r="E163">
        <v>1.474E-2</v>
      </c>
      <c r="F163">
        <v>1.2959999999999999E-2</v>
      </c>
      <c r="G163">
        <v>2.5680000000000001E-2</v>
      </c>
      <c r="H163">
        <v>-7.9000000000000001E-4</v>
      </c>
      <c r="I163">
        <v>3.6099999999999999E-3</v>
      </c>
      <c r="J163">
        <v>5.3E-3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-3.3400000000000001E-3</v>
      </c>
      <c r="R163">
        <v>0</v>
      </c>
      <c r="S163">
        <v>0</v>
      </c>
      <c r="T163">
        <v>0</v>
      </c>
      <c r="U163">
        <v>1.106E-2</v>
      </c>
      <c r="V163">
        <v>0</v>
      </c>
      <c r="W163">
        <v>0</v>
      </c>
      <c r="X163">
        <v>7.0600000000000003E-3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1.15E-2</v>
      </c>
      <c r="AH163">
        <v>0</v>
      </c>
      <c r="AI163">
        <v>0</v>
      </c>
    </row>
    <row r="164" spans="1:35" x14ac:dyDescent="0.25">
      <c r="A164" s="1">
        <v>44043</v>
      </c>
      <c r="B164" s="8">
        <v>7.8299999999999995E-2</v>
      </c>
      <c r="C164">
        <v>4.3400000000000001E-2</v>
      </c>
      <c r="D164">
        <v>5.5101321441235696E-2</v>
      </c>
      <c r="E164">
        <v>1.651E-2</v>
      </c>
      <c r="F164">
        <v>1.4710000000000001E-2</v>
      </c>
      <c r="G164">
        <v>-1.38E-2</v>
      </c>
      <c r="H164">
        <v>4.7600000000000003E-3</v>
      </c>
      <c r="I164">
        <v>5.6800000000000002E-3</v>
      </c>
      <c r="J164">
        <v>5.8599999999999998E-3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3.7000000000000002E-3</v>
      </c>
      <c r="R164">
        <v>0</v>
      </c>
      <c r="S164">
        <v>0</v>
      </c>
      <c r="T164">
        <v>0</v>
      </c>
      <c r="U164">
        <v>7.3999999999999999E-4</v>
      </c>
      <c r="V164">
        <v>0</v>
      </c>
      <c r="W164">
        <v>0</v>
      </c>
      <c r="X164">
        <v>1.176E-2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2.8400000000000002E-2</v>
      </c>
      <c r="AH164">
        <v>0</v>
      </c>
      <c r="AI164">
        <v>0</v>
      </c>
    </row>
    <row r="165" spans="1:35" x14ac:dyDescent="0.25">
      <c r="A165" s="1">
        <v>44074</v>
      </c>
      <c r="B165" s="8">
        <v>0.1086</v>
      </c>
      <c r="C165">
        <v>5.5500000000000001E-2</v>
      </c>
      <c r="D165">
        <v>7.0064667087246457E-2</v>
      </c>
      <c r="E165">
        <v>2.163E-2</v>
      </c>
      <c r="F165">
        <v>9.0500000000000008E-3</v>
      </c>
      <c r="G165">
        <v>8.7500000000000008E-3</v>
      </c>
      <c r="H165">
        <v>3.46E-3</v>
      </c>
      <c r="I165">
        <v>3.3400000000000001E-3</v>
      </c>
      <c r="J165">
        <v>7.1000000000000004E-3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3.6700000000000001E-3</v>
      </c>
      <c r="R165">
        <v>0</v>
      </c>
      <c r="S165">
        <v>0</v>
      </c>
      <c r="T165">
        <v>0</v>
      </c>
      <c r="U165">
        <v>1.026E-2</v>
      </c>
      <c r="V165">
        <v>0</v>
      </c>
      <c r="W165">
        <v>0</v>
      </c>
      <c r="X165">
        <v>2.5999999999999999E-2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1.532E-2</v>
      </c>
      <c r="AH165">
        <v>0</v>
      </c>
      <c r="AI165">
        <v>0</v>
      </c>
    </row>
    <row r="166" spans="1:35" x14ac:dyDescent="0.25">
      <c r="A166" s="1">
        <v>44104</v>
      </c>
      <c r="B166" s="8">
        <v>-3.5900000000000001E-2</v>
      </c>
      <c r="C166">
        <v>-2.63E-2</v>
      </c>
      <c r="D166">
        <v>-3.9227970289931413E-2</v>
      </c>
      <c r="E166">
        <v>-1.025E-2</v>
      </c>
      <c r="F166">
        <v>-8.7600000000000004E-3</v>
      </c>
      <c r="G166">
        <v>-3.82E-3</v>
      </c>
      <c r="H166">
        <v>-5.7099999999999998E-3</v>
      </c>
      <c r="I166">
        <v>-4.5500000000000002E-3</v>
      </c>
      <c r="J166">
        <v>4.81E-3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-3.9100000000000003E-3</v>
      </c>
      <c r="R166">
        <v>0</v>
      </c>
      <c r="S166">
        <v>0</v>
      </c>
      <c r="T166">
        <v>0</v>
      </c>
      <c r="U166">
        <v>-6.7400000000000003E-3</v>
      </c>
      <c r="V166">
        <v>0</v>
      </c>
      <c r="W166">
        <v>0</v>
      </c>
      <c r="X166">
        <v>1.1999999999999999E-3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1.8400000000000001E-3</v>
      </c>
      <c r="AH166">
        <v>0</v>
      </c>
      <c r="AI166">
        <v>0</v>
      </c>
    </row>
    <row r="167" spans="1:35" x14ac:dyDescent="0.25">
      <c r="A167" s="1">
        <v>44134</v>
      </c>
      <c r="B167" s="8">
        <v>-2.5600000000000001E-2</v>
      </c>
      <c r="C167">
        <v>-1.61E-2</v>
      </c>
      <c r="D167">
        <v>-2.766578620279514E-2</v>
      </c>
      <c r="E167">
        <v>-6.0000000000000001E-3</v>
      </c>
      <c r="F167">
        <v>-3.5799999999999998E-3</v>
      </c>
      <c r="G167">
        <v>-1.2630000000000001E-2</v>
      </c>
      <c r="H167">
        <v>-1.6199999999999999E-3</v>
      </c>
      <c r="I167">
        <v>6.3299999999999997E-3</v>
      </c>
      <c r="J167">
        <v>5.9899999999999997E-3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2.7699999999999999E-3</v>
      </c>
      <c r="R167">
        <v>0</v>
      </c>
      <c r="S167">
        <v>0</v>
      </c>
      <c r="T167">
        <v>0</v>
      </c>
      <c r="U167">
        <v>-3.7399999999999998E-3</v>
      </c>
      <c r="V167">
        <v>0</v>
      </c>
      <c r="W167">
        <v>0</v>
      </c>
      <c r="X167">
        <v>-7.3600000000000002E-3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-5.7099999999999998E-3</v>
      </c>
      <c r="AH167">
        <v>0</v>
      </c>
      <c r="AI167">
        <v>0</v>
      </c>
    </row>
    <row r="168" spans="1:35" x14ac:dyDescent="0.25">
      <c r="A168" s="1">
        <v>44165</v>
      </c>
      <c r="B168" s="8">
        <v>0.1484</v>
      </c>
      <c r="C168">
        <v>0.15110000000000001</v>
      </c>
      <c r="D168">
        <v>0.10754563548003038</v>
      </c>
      <c r="E168">
        <v>9.5499999999999995E-3</v>
      </c>
      <c r="F168">
        <v>4.3400000000000001E-3</v>
      </c>
      <c r="G168">
        <v>4.5929999999999999E-2</v>
      </c>
      <c r="H168">
        <v>1.882E-2</v>
      </c>
      <c r="I168">
        <v>1.6549999999999999E-2</v>
      </c>
      <c r="J168">
        <v>1.0529999999999999E-2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2.0240000000000001E-2</v>
      </c>
      <c r="R168">
        <v>0</v>
      </c>
      <c r="S168">
        <v>0</v>
      </c>
      <c r="T168">
        <v>0</v>
      </c>
      <c r="U168">
        <v>6.0099999999999997E-3</v>
      </c>
      <c r="V168">
        <v>0</v>
      </c>
      <c r="W168">
        <v>0</v>
      </c>
      <c r="X168">
        <v>6.9199999999999999E-3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9.5300000000000003E-3</v>
      </c>
      <c r="AH168">
        <v>0</v>
      </c>
      <c r="AI168">
        <v>0</v>
      </c>
    </row>
    <row r="169" spans="1:35" x14ac:dyDescent="0.25">
      <c r="A169" s="1">
        <v>44196</v>
      </c>
      <c r="B169" s="8">
        <v>4.0399999999999998E-2</v>
      </c>
      <c r="C169">
        <v>4.2900000000000001E-2</v>
      </c>
      <c r="D169">
        <v>3.7121458940645669E-2</v>
      </c>
      <c r="E169">
        <v>1.146E-2</v>
      </c>
      <c r="F169">
        <v>2.81E-3</v>
      </c>
      <c r="G169">
        <v>1.5900000000000001E-3</v>
      </c>
      <c r="H169">
        <v>8.2699999999999996E-3</v>
      </c>
      <c r="I169">
        <v>3.8400000000000001E-3</v>
      </c>
      <c r="J169">
        <v>4.8599999999999997E-3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7.7999999999999996E-3</v>
      </c>
      <c r="R169">
        <v>0</v>
      </c>
      <c r="S169">
        <v>0</v>
      </c>
      <c r="T169">
        <v>0</v>
      </c>
      <c r="U169">
        <v>3.8999999999999998E-3</v>
      </c>
      <c r="V169">
        <v>0</v>
      </c>
      <c r="W169">
        <v>0</v>
      </c>
      <c r="X169">
        <v>-2.5600000000000002E-3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-1.56E-3</v>
      </c>
      <c r="AH169">
        <v>0</v>
      </c>
      <c r="AI169">
        <v>0</v>
      </c>
    </row>
    <row r="170" spans="1:35" x14ac:dyDescent="0.25">
      <c r="A170" s="1">
        <v>44225</v>
      </c>
      <c r="B170" s="8">
        <v>5.4999999999999997E-3</v>
      </c>
      <c r="C170">
        <v>-9.7999999999999997E-3</v>
      </c>
      <c r="D170">
        <v>-1.1136660723231162E-2</v>
      </c>
      <c r="E170">
        <v>-5.5000000000000003E-4</v>
      </c>
      <c r="F170">
        <v>-1.5399999999999999E-3</v>
      </c>
      <c r="G170">
        <v>-4.4999999999999997E-3</v>
      </c>
      <c r="H170">
        <v>-2.1800000000000001E-3</v>
      </c>
      <c r="I170">
        <v>-2.5600000000000002E-3</v>
      </c>
      <c r="J170">
        <v>0</v>
      </c>
      <c r="K170">
        <v>0</v>
      </c>
      <c r="L170" s="2">
        <v>8.0000000000000007E-5</v>
      </c>
      <c r="M170">
        <v>0</v>
      </c>
      <c r="N170">
        <v>-5.4099999999999999E-3</v>
      </c>
      <c r="O170">
        <v>0</v>
      </c>
      <c r="P170">
        <v>0</v>
      </c>
      <c r="Q170">
        <v>1.06E-3</v>
      </c>
      <c r="R170">
        <v>0</v>
      </c>
      <c r="S170">
        <v>0</v>
      </c>
      <c r="T170" s="2">
        <v>2.0000000000000002E-5</v>
      </c>
      <c r="U170">
        <v>0</v>
      </c>
      <c r="V170">
        <v>0</v>
      </c>
      <c r="W170">
        <v>0</v>
      </c>
      <c r="X170">
        <v>-3.2000000000000003E-4</v>
      </c>
      <c r="Y170">
        <v>8.1200000000000005E-3</v>
      </c>
      <c r="Z170">
        <v>0</v>
      </c>
      <c r="AA170">
        <v>0</v>
      </c>
      <c r="AB170">
        <v>0</v>
      </c>
      <c r="AC170">
        <v>5.64E-3</v>
      </c>
      <c r="AD170">
        <v>0</v>
      </c>
      <c r="AE170">
        <v>3.0899999999999999E-3</v>
      </c>
      <c r="AF170">
        <v>0</v>
      </c>
      <c r="AG170">
        <v>-3.7599999999999999E-3</v>
      </c>
      <c r="AH170">
        <v>0</v>
      </c>
      <c r="AI170">
        <v>8.3300000000000006E-3</v>
      </c>
    </row>
    <row r="171" spans="1:35" x14ac:dyDescent="0.25">
      <c r="A171" s="1">
        <v>44253</v>
      </c>
      <c r="B171" s="8">
        <v>0.1091</v>
      </c>
      <c r="C171">
        <v>0.06</v>
      </c>
      <c r="D171">
        <v>2.6091451349647521E-2</v>
      </c>
      <c r="E171">
        <v>-7.9500000000000005E-3</v>
      </c>
      <c r="F171">
        <v>-3.49E-3</v>
      </c>
      <c r="G171">
        <v>4.45E-3</v>
      </c>
      <c r="H171">
        <v>1.7069999999999998E-2</v>
      </c>
      <c r="I171">
        <v>-8.8000000000000003E-4</v>
      </c>
      <c r="J171" s="2">
        <v>5.0000000000000002E-5</v>
      </c>
      <c r="K171">
        <v>0</v>
      </c>
      <c r="L171">
        <v>2.4680000000000001E-2</v>
      </c>
      <c r="M171">
        <v>0</v>
      </c>
      <c r="N171">
        <v>9.3600000000000003E-3</v>
      </c>
      <c r="O171">
        <v>0</v>
      </c>
      <c r="P171">
        <v>0</v>
      </c>
      <c r="Q171">
        <v>7.7600000000000004E-3</v>
      </c>
      <c r="R171">
        <v>0</v>
      </c>
      <c r="S171">
        <v>0</v>
      </c>
      <c r="T171" s="2">
        <v>2.0000000000000002E-5</v>
      </c>
      <c r="U171">
        <v>0</v>
      </c>
      <c r="V171">
        <v>0</v>
      </c>
      <c r="W171">
        <v>0</v>
      </c>
      <c r="X171">
        <v>3.62E-3</v>
      </c>
      <c r="Y171">
        <v>1.669E-2</v>
      </c>
      <c r="Z171">
        <v>0</v>
      </c>
      <c r="AA171">
        <v>0</v>
      </c>
      <c r="AB171">
        <v>0</v>
      </c>
      <c r="AC171">
        <v>1.353E-2</v>
      </c>
      <c r="AD171">
        <v>0</v>
      </c>
      <c r="AE171">
        <v>9.7999999999999997E-4</v>
      </c>
      <c r="AF171">
        <v>0</v>
      </c>
      <c r="AG171">
        <v>1.17E-3</v>
      </c>
      <c r="AH171">
        <v>0</v>
      </c>
      <c r="AI171">
        <v>2.2009999999999998E-2</v>
      </c>
    </row>
    <row r="172" spans="1:35" x14ac:dyDescent="0.25">
      <c r="A172" s="1">
        <v>44286</v>
      </c>
      <c r="B172" s="8">
        <v>3.6299999999999999E-2</v>
      </c>
      <c r="C172">
        <v>5.4300000000000001E-2</v>
      </c>
      <c r="D172">
        <v>4.2438632737883841E-2</v>
      </c>
      <c r="E172">
        <v>7.2999999999999996E-4</v>
      </c>
      <c r="F172" s="2">
        <v>4.0000000000000003E-5</v>
      </c>
      <c r="G172">
        <v>9.7699999999999992E-3</v>
      </c>
      <c r="H172">
        <v>1.1979999999999999E-2</v>
      </c>
      <c r="I172">
        <v>8.3499999999999998E-3</v>
      </c>
      <c r="J172" s="2">
        <v>2.0000000000000002E-5</v>
      </c>
      <c r="K172">
        <v>0</v>
      </c>
      <c r="L172">
        <v>1.47E-3</v>
      </c>
      <c r="M172">
        <v>0</v>
      </c>
      <c r="N172">
        <v>-1.8E-3</v>
      </c>
      <c r="O172">
        <v>0</v>
      </c>
      <c r="P172">
        <v>0</v>
      </c>
      <c r="Q172">
        <v>1.8600000000000001E-3</v>
      </c>
      <c r="R172">
        <v>0</v>
      </c>
      <c r="S172">
        <v>0</v>
      </c>
      <c r="T172">
        <v>4.2999999999999999E-4</v>
      </c>
      <c r="U172">
        <v>0</v>
      </c>
      <c r="V172">
        <v>0</v>
      </c>
      <c r="W172">
        <v>0</v>
      </c>
      <c r="X172">
        <v>-1.7099999999999999E-3</v>
      </c>
      <c r="Y172" s="2">
        <v>4.0000000000000003E-5</v>
      </c>
      <c r="Z172">
        <v>0</v>
      </c>
      <c r="AA172">
        <v>0</v>
      </c>
      <c r="AB172">
        <v>0</v>
      </c>
      <c r="AC172">
        <v>4.6999999999999999E-4</v>
      </c>
      <c r="AD172">
        <v>0</v>
      </c>
      <c r="AE172">
        <v>-1.5499999999999999E-3</v>
      </c>
      <c r="AF172">
        <v>0</v>
      </c>
      <c r="AG172">
        <v>3.64E-3</v>
      </c>
      <c r="AH172">
        <v>0</v>
      </c>
      <c r="AI172">
        <v>2.5500000000000002E-3</v>
      </c>
    </row>
    <row r="173" spans="1:35" x14ac:dyDescent="0.25">
      <c r="A173" s="1">
        <v>44316</v>
      </c>
      <c r="B173" s="8">
        <v>4.9399999999999999E-2</v>
      </c>
      <c r="C173">
        <v>0.04</v>
      </c>
      <c r="D173">
        <v>5.2425321267266289E-2</v>
      </c>
      <c r="E173">
        <v>7.62E-3</v>
      </c>
      <c r="F173">
        <v>1.192E-2</v>
      </c>
      <c r="G173">
        <v>-3.8899999999999998E-3</v>
      </c>
      <c r="H173">
        <v>4.7600000000000003E-3</v>
      </c>
      <c r="I173">
        <v>7.9000000000000008E-3</v>
      </c>
      <c r="J173">
        <v>0</v>
      </c>
      <c r="K173">
        <v>0</v>
      </c>
      <c r="L173">
        <v>-2.7499999999999998E-3</v>
      </c>
      <c r="M173">
        <v>0</v>
      </c>
      <c r="N173">
        <v>6.0999999999999997E-4</v>
      </c>
      <c r="O173">
        <v>0</v>
      </c>
      <c r="P173">
        <v>0</v>
      </c>
      <c r="Q173">
        <v>8.8000000000000003E-4</v>
      </c>
      <c r="R173">
        <v>0</v>
      </c>
      <c r="S173">
        <v>0</v>
      </c>
      <c r="T173">
        <v>1E-4</v>
      </c>
      <c r="U173">
        <v>0</v>
      </c>
      <c r="V173">
        <v>0</v>
      </c>
      <c r="W173">
        <v>0</v>
      </c>
      <c r="X173">
        <v>8.0599999999999995E-3</v>
      </c>
      <c r="Y173">
        <v>-2.4199999999999998E-3</v>
      </c>
      <c r="Z173">
        <v>0</v>
      </c>
      <c r="AA173">
        <v>0</v>
      </c>
      <c r="AB173">
        <v>0</v>
      </c>
      <c r="AC173">
        <v>5.13E-3</v>
      </c>
      <c r="AD173">
        <v>0</v>
      </c>
      <c r="AE173">
        <v>-3.5E-4</v>
      </c>
      <c r="AF173">
        <v>0</v>
      </c>
      <c r="AG173">
        <v>9.4199999999999996E-3</v>
      </c>
      <c r="AH173">
        <v>0</v>
      </c>
      <c r="AI173">
        <v>2.3999999999999998E-3</v>
      </c>
    </row>
    <row r="174" spans="1:35" x14ac:dyDescent="0.25">
      <c r="A174" s="1">
        <v>44344</v>
      </c>
      <c r="B174" s="8">
        <v>2.6499999999999999E-2</v>
      </c>
      <c r="C174">
        <v>2.3199999999999998E-2</v>
      </c>
      <c r="D174">
        <v>5.4864885732810453E-3</v>
      </c>
      <c r="E174">
        <v>-5.0400000000000002E-3</v>
      </c>
      <c r="F174">
        <v>-6.96E-3</v>
      </c>
      <c r="G174">
        <v>2.63E-3</v>
      </c>
      <c r="H174">
        <v>4.5900000000000003E-3</v>
      </c>
      <c r="I174">
        <v>6.43E-3</v>
      </c>
      <c r="J174" s="2">
        <v>2.0000000000000002E-5</v>
      </c>
      <c r="K174">
        <v>0</v>
      </c>
      <c r="L174">
        <v>7.8300000000000002E-3</v>
      </c>
      <c r="M174">
        <v>0</v>
      </c>
      <c r="N174">
        <v>-2.99E-3</v>
      </c>
      <c r="O174">
        <v>0</v>
      </c>
      <c r="P174">
        <v>0</v>
      </c>
      <c r="Q174">
        <v>3.6600000000000001E-3</v>
      </c>
      <c r="R174">
        <v>0</v>
      </c>
      <c r="S174">
        <v>0</v>
      </c>
      <c r="T174">
        <v>1.6000000000000001E-4</v>
      </c>
      <c r="U174">
        <v>0</v>
      </c>
      <c r="V174">
        <v>0</v>
      </c>
      <c r="W174">
        <v>0</v>
      </c>
      <c r="X174">
        <v>5.3299999999999997E-3</v>
      </c>
      <c r="Y174">
        <v>1.2099999999999999E-3</v>
      </c>
      <c r="Z174">
        <v>0</v>
      </c>
      <c r="AA174">
        <v>0</v>
      </c>
      <c r="AB174">
        <v>0</v>
      </c>
      <c r="AC174">
        <v>3.49E-3</v>
      </c>
      <c r="AD174">
        <v>0</v>
      </c>
      <c r="AE174">
        <v>1.3999999999999999E-4</v>
      </c>
      <c r="AF174">
        <v>0</v>
      </c>
      <c r="AG174">
        <v>2.7299999999999998E-3</v>
      </c>
      <c r="AH174">
        <v>0</v>
      </c>
      <c r="AI174">
        <v>3.32E-3</v>
      </c>
    </row>
    <row r="175" spans="1:35" x14ac:dyDescent="0.25">
      <c r="A175" s="1">
        <v>44377</v>
      </c>
      <c r="B175" s="8">
        <v>4.9599999999999998E-2</v>
      </c>
      <c r="C175">
        <v>1.52E-2</v>
      </c>
      <c r="D175">
        <v>2.2214009634219822E-2</v>
      </c>
      <c r="E175">
        <v>9.9100000000000004E-3</v>
      </c>
      <c r="F175">
        <v>6.6499999999999997E-3</v>
      </c>
      <c r="G175">
        <v>-1.4599999999999999E-3</v>
      </c>
      <c r="H175">
        <v>-2.31E-3</v>
      </c>
      <c r="I175">
        <v>2.1000000000000001E-4</v>
      </c>
      <c r="J175" s="2">
        <v>-3.0000000000000001E-5</v>
      </c>
      <c r="K175">
        <v>0</v>
      </c>
      <c r="L175">
        <v>7.3699999999999998E-3</v>
      </c>
      <c r="M175">
        <v>0</v>
      </c>
      <c r="N175">
        <v>-1.2199999999999999E-3</v>
      </c>
      <c r="O175">
        <v>0</v>
      </c>
      <c r="P175">
        <v>0</v>
      </c>
      <c r="Q175">
        <v>-2.8600000000000001E-3</v>
      </c>
      <c r="R175">
        <v>0</v>
      </c>
      <c r="S175">
        <v>0</v>
      </c>
      <c r="T175" s="2">
        <v>-9.0000000000000006E-5</v>
      </c>
      <c r="U175">
        <v>0</v>
      </c>
      <c r="V175">
        <v>0</v>
      </c>
      <c r="W175">
        <v>0</v>
      </c>
      <c r="X175">
        <v>1.5010000000000001E-2</v>
      </c>
      <c r="Y175">
        <v>1.047E-2</v>
      </c>
      <c r="Z175">
        <v>0</v>
      </c>
      <c r="AA175">
        <v>0</v>
      </c>
      <c r="AB175">
        <v>0</v>
      </c>
      <c r="AC175">
        <v>9.7000000000000005E-4</v>
      </c>
      <c r="AD175">
        <v>0</v>
      </c>
      <c r="AE175">
        <v>7.5000000000000002E-4</v>
      </c>
      <c r="AF175">
        <v>0</v>
      </c>
      <c r="AG175">
        <v>-1.4599999999999999E-3</v>
      </c>
      <c r="AH175">
        <v>0</v>
      </c>
      <c r="AI175">
        <v>7.6600000000000001E-3</v>
      </c>
    </row>
    <row r="176" spans="1:35" x14ac:dyDescent="0.25">
      <c r="A176" s="1">
        <v>44407</v>
      </c>
      <c r="B176" s="8">
        <v>-3.7999999999999999E-2</v>
      </c>
      <c r="C176">
        <v>-4.0000000000000001E-3</v>
      </c>
      <c r="D176">
        <v>2.2748054915648686E-2</v>
      </c>
      <c r="E176">
        <v>6.4999999999999997E-3</v>
      </c>
      <c r="F176">
        <v>-3.2299999999999998E-3</v>
      </c>
      <c r="G176">
        <v>-2.65E-3</v>
      </c>
      <c r="H176">
        <v>-6.96E-3</v>
      </c>
      <c r="I176">
        <v>-8.0999999999999996E-4</v>
      </c>
      <c r="J176" s="2">
        <v>-1.0000000000000001E-5</v>
      </c>
      <c r="K176">
        <v>0</v>
      </c>
      <c r="L176">
        <v>-5.7600000000000004E-3</v>
      </c>
      <c r="M176">
        <v>0</v>
      </c>
      <c r="N176">
        <v>1.1E-4</v>
      </c>
      <c r="O176">
        <v>0</v>
      </c>
      <c r="P176">
        <v>0</v>
      </c>
      <c r="Q176">
        <v>-9.8999999999999999E-4</v>
      </c>
      <c r="R176">
        <v>0</v>
      </c>
      <c r="S176">
        <v>0</v>
      </c>
      <c r="T176" s="2">
        <v>-1.0000000000000001E-5</v>
      </c>
      <c r="U176">
        <v>0</v>
      </c>
      <c r="V176">
        <v>0</v>
      </c>
      <c r="W176">
        <v>0</v>
      </c>
      <c r="X176">
        <v>-1.6299999999999999E-3</v>
      </c>
      <c r="Y176">
        <v>-8.4499999999999992E-3</v>
      </c>
      <c r="Z176">
        <v>0</v>
      </c>
      <c r="AA176">
        <v>0</v>
      </c>
      <c r="AB176">
        <v>0</v>
      </c>
      <c r="AC176">
        <v>-1.23E-3</v>
      </c>
      <c r="AD176">
        <v>0</v>
      </c>
      <c r="AE176">
        <v>-7.9000000000000001E-4</v>
      </c>
      <c r="AF176">
        <v>0</v>
      </c>
      <c r="AG176">
        <v>-3.7799999999999999E-3</v>
      </c>
      <c r="AH176">
        <v>0</v>
      </c>
      <c r="AI176">
        <v>-8.2900000000000005E-3</v>
      </c>
    </row>
    <row r="177" spans="1:35" x14ac:dyDescent="0.25">
      <c r="A177" s="1">
        <v>44439</v>
      </c>
      <c r="B177" s="8">
        <v>3.9199999999999999E-2</v>
      </c>
      <c r="C177">
        <v>2.4E-2</v>
      </c>
      <c r="D177">
        <v>2.8990416217415271E-2</v>
      </c>
      <c r="E177">
        <v>4.2399999999999998E-3</v>
      </c>
      <c r="F177">
        <v>4.2500000000000003E-3</v>
      </c>
      <c r="G177">
        <v>-1.49E-3</v>
      </c>
      <c r="H177">
        <v>8.8400000000000006E-3</v>
      </c>
      <c r="I177">
        <v>8.0099999999999998E-3</v>
      </c>
      <c r="J177" s="2">
        <v>1.0000000000000001E-5</v>
      </c>
      <c r="K177">
        <v>0</v>
      </c>
      <c r="L177">
        <v>-7.5000000000000002E-4</v>
      </c>
      <c r="M177">
        <v>0</v>
      </c>
      <c r="N177">
        <v>2.2599999999999999E-3</v>
      </c>
      <c r="O177">
        <v>0</v>
      </c>
      <c r="P177">
        <v>0</v>
      </c>
      <c r="Q177">
        <v>2.9099999999999998E-3</v>
      </c>
      <c r="R177">
        <v>0</v>
      </c>
      <c r="S177">
        <v>0</v>
      </c>
      <c r="T177" s="2">
        <v>-4.0000000000000003E-5</v>
      </c>
      <c r="U177">
        <v>0</v>
      </c>
      <c r="V177">
        <v>0</v>
      </c>
      <c r="W177">
        <v>0</v>
      </c>
      <c r="X177">
        <v>9.5999999999999992E-3</v>
      </c>
      <c r="Y177">
        <v>-8.0000000000000004E-4</v>
      </c>
      <c r="Z177">
        <v>0</v>
      </c>
      <c r="AA177">
        <v>0</v>
      </c>
      <c r="AB177">
        <v>0</v>
      </c>
      <c r="AC177">
        <v>3.9399999999999999E-3</v>
      </c>
      <c r="AD177">
        <v>0</v>
      </c>
      <c r="AE177">
        <v>5.5000000000000003E-4</v>
      </c>
      <c r="AF177">
        <v>0</v>
      </c>
      <c r="AG177">
        <v>1.31E-3</v>
      </c>
      <c r="AH177">
        <v>0</v>
      </c>
      <c r="AI177">
        <v>-3.5899999999999999E-3</v>
      </c>
    </row>
    <row r="178" spans="1:35" x14ac:dyDescent="0.25">
      <c r="A178" s="1">
        <v>44469</v>
      </c>
      <c r="B178" s="8">
        <v>-2E-3</v>
      </c>
      <c r="C178">
        <v>-3.0200000000000001E-2</v>
      </c>
      <c r="D178">
        <v>-4.7569168861786748E-2</v>
      </c>
      <c r="E178">
        <v>-6.7999999999999996E-3</v>
      </c>
      <c r="F178">
        <v>-5.2900000000000004E-3</v>
      </c>
      <c r="G178">
        <v>1E-4</v>
      </c>
      <c r="H178">
        <v>2.1800000000000001E-3</v>
      </c>
      <c r="I178">
        <v>-9.7199999999999995E-3</v>
      </c>
      <c r="J178" s="2">
        <v>-3.0000000000000001E-5</v>
      </c>
      <c r="K178">
        <v>0</v>
      </c>
      <c r="L178">
        <v>1.755E-2</v>
      </c>
      <c r="M178">
        <v>0</v>
      </c>
      <c r="N178">
        <v>-5.0400000000000002E-3</v>
      </c>
      <c r="O178">
        <v>0</v>
      </c>
      <c r="P178">
        <v>0</v>
      </c>
      <c r="Q178">
        <v>1.2600000000000001E-3</v>
      </c>
      <c r="R178">
        <v>0</v>
      </c>
      <c r="S178">
        <v>0</v>
      </c>
      <c r="T178">
        <v>-4.2999999999999999E-4</v>
      </c>
      <c r="U178">
        <v>0</v>
      </c>
      <c r="V178">
        <v>0</v>
      </c>
      <c r="W178">
        <v>0</v>
      </c>
      <c r="X178">
        <v>-4.8300000000000001E-3</v>
      </c>
      <c r="Y178">
        <v>7.7600000000000004E-3</v>
      </c>
      <c r="Z178">
        <v>0</v>
      </c>
      <c r="AA178">
        <v>0</v>
      </c>
      <c r="AB178">
        <v>0</v>
      </c>
      <c r="AC178">
        <v>-1.39E-3</v>
      </c>
      <c r="AD178">
        <v>0</v>
      </c>
      <c r="AE178">
        <v>-1.56E-3</v>
      </c>
      <c r="AF178">
        <v>0</v>
      </c>
      <c r="AG178">
        <v>-3.2699999999999999E-3</v>
      </c>
      <c r="AH178">
        <v>0</v>
      </c>
      <c r="AI178">
        <v>7.4799999999999997E-3</v>
      </c>
    </row>
    <row r="179" spans="1:35" x14ac:dyDescent="0.25">
      <c r="A179" s="1">
        <v>44498</v>
      </c>
      <c r="B179" s="8">
        <v>8.8300000000000003E-2</v>
      </c>
      <c r="C179">
        <v>6.7699999999999996E-2</v>
      </c>
      <c r="D179">
        <v>6.9143836459647501E-2</v>
      </c>
      <c r="E179">
        <v>5.8700000000000002E-3</v>
      </c>
      <c r="F179">
        <v>2.63E-3</v>
      </c>
      <c r="G179">
        <v>-2.8500000000000001E-3</v>
      </c>
      <c r="H179">
        <v>1.256E-2</v>
      </c>
      <c r="I179">
        <v>1.14E-2</v>
      </c>
      <c r="J179" s="2">
        <v>2.0000000000000002E-5</v>
      </c>
      <c r="K179">
        <v>0</v>
      </c>
      <c r="L179">
        <v>8.43E-3</v>
      </c>
      <c r="M179">
        <v>0</v>
      </c>
      <c r="N179" s="2">
        <v>-4.0000000000000003E-5</v>
      </c>
      <c r="O179">
        <v>0</v>
      </c>
      <c r="P179">
        <v>0</v>
      </c>
      <c r="Q179">
        <v>2.3800000000000002E-3</v>
      </c>
      <c r="R179">
        <v>0</v>
      </c>
      <c r="S179">
        <v>0</v>
      </c>
      <c r="T179" s="2">
        <v>8.0000000000000007E-5</v>
      </c>
      <c r="U179">
        <v>0</v>
      </c>
      <c r="V179">
        <v>0</v>
      </c>
      <c r="W179">
        <v>0</v>
      </c>
      <c r="X179">
        <v>1.5169999999999999E-2</v>
      </c>
      <c r="Y179">
        <v>6.8199999999999997E-3</v>
      </c>
      <c r="Z179">
        <v>0</v>
      </c>
      <c r="AA179">
        <v>0</v>
      </c>
      <c r="AB179">
        <v>0</v>
      </c>
      <c r="AC179">
        <v>8.0400000000000003E-3</v>
      </c>
      <c r="AD179">
        <v>0</v>
      </c>
      <c r="AE179">
        <v>5.0000000000000001E-4</v>
      </c>
      <c r="AF179">
        <v>0</v>
      </c>
      <c r="AG179">
        <v>8.1499999999999993E-3</v>
      </c>
      <c r="AH179">
        <v>0</v>
      </c>
      <c r="AI179">
        <v>9.1199999999999996E-3</v>
      </c>
    </row>
    <row r="180" spans="1:35" x14ac:dyDescent="0.25">
      <c r="A180" s="1">
        <v>44530</v>
      </c>
      <c r="B180" s="8">
        <v>-1.06E-2</v>
      </c>
      <c r="C180">
        <v>-1.34E-2</v>
      </c>
      <c r="D180">
        <v>-8.3337062251199745E-3</v>
      </c>
      <c r="E180">
        <v>1.0489999999999999E-2</v>
      </c>
      <c r="F180">
        <v>3.9399999999999999E-3</v>
      </c>
      <c r="G180">
        <v>-2.15E-3</v>
      </c>
      <c r="H180">
        <v>-6.9300000000000004E-3</v>
      </c>
      <c r="I180">
        <v>-3.7599999999999999E-3</v>
      </c>
      <c r="J180" s="2">
        <v>-2.0000000000000002E-5</v>
      </c>
      <c r="K180">
        <v>0</v>
      </c>
      <c r="L180">
        <v>-4.6600000000000001E-3</v>
      </c>
      <c r="M180">
        <v>0</v>
      </c>
      <c r="N180">
        <v>-1.078E-2</v>
      </c>
      <c r="O180">
        <v>0</v>
      </c>
      <c r="P180">
        <v>0</v>
      </c>
      <c r="Q180">
        <v>-3.5200000000000001E-3</v>
      </c>
      <c r="R180">
        <v>0</v>
      </c>
      <c r="S180">
        <v>0</v>
      </c>
      <c r="T180">
        <v>-1.7000000000000001E-4</v>
      </c>
      <c r="U180">
        <v>0</v>
      </c>
      <c r="V180">
        <v>0</v>
      </c>
      <c r="W180">
        <v>0</v>
      </c>
      <c r="X180">
        <v>1.8020000000000001E-2</v>
      </c>
      <c r="Y180">
        <v>-5.9100000000000003E-3</v>
      </c>
      <c r="Z180">
        <v>0</v>
      </c>
      <c r="AA180">
        <v>0</v>
      </c>
      <c r="AB180">
        <v>0</v>
      </c>
      <c r="AC180">
        <v>2.6900000000000001E-3</v>
      </c>
      <c r="AD180">
        <v>0</v>
      </c>
      <c r="AE180">
        <v>8.1999999999999998E-4</v>
      </c>
      <c r="AF180">
        <v>0</v>
      </c>
      <c r="AG180">
        <v>-3.1199999999999999E-3</v>
      </c>
      <c r="AH180">
        <v>0</v>
      </c>
      <c r="AI180">
        <v>-5.5199999999999997E-3</v>
      </c>
    </row>
    <row r="181" spans="1:35" x14ac:dyDescent="0.25">
      <c r="A181" s="1">
        <v>44561</v>
      </c>
      <c r="B181" s="8">
        <v>1.6E-2</v>
      </c>
      <c r="C181">
        <v>5.3999999999999999E-2</v>
      </c>
      <c r="D181">
        <v>4.361291350996277E-2</v>
      </c>
      <c r="E181">
        <v>7.4200000000000004E-3</v>
      </c>
      <c r="F181">
        <v>-4.8700000000000002E-3</v>
      </c>
      <c r="G181">
        <v>8.4999999999999995E-4</v>
      </c>
      <c r="H181">
        <v>5.1999999999999995E-4</v>
      </c>
      <c r="I181">
        <v>1.5200000000000001E-3</v>
      </c>
      <c r="J181" s="2">
        <v>2.0000000000000002E-5</v>
      </c>
      <c r="K181">
        <v>0</v>
      </c>
      <c r="L181">
        <v>2.5500000000000002E-3</v>
      </c>
      <c r="M181">
        <v>0</v>
      </c>
      <c r="N181">
        <v>5.1999999999999998E-3</v>
      </c>
      <c r="O181">
        <v>0</v>
      </c>
      <c r="P181">
        <v>0</v>
      </c>
      <c r="Q181">
        <v>-1.6000000000000001E-4</v>
      </c>
      <c r="R181">
        <v>0</v>
      </c>
      <c r="S181">
        <v>0</v>
      </c>
      <c r="T181">
        <v>1.9000000000000001E-4</v>
      </c>
      <c r="U181">
        <v>0</v>
      </c>
      <c r="V181">
        <v>0</v>
      </c>
      <c r="W181">
        <v>0</v>
      </c>
      <c r="X181">
        <v>-6.4700000000000001E-3</v>
      </c>
      <c r="Y181">
        <v>-1.1199999999999999E-3</v>
      </c>
      <c r="Z181">
        <v>0</v>
      </c>
      <c r="AA181">
        <v>0</v>
      </c>
      <c r="AB181">
        <v>0</v>
      </c>
      <c r="AC181">
        <v>3.5300000000000002E-3</v>
      </c>
      <c r="AD181">
        <v>0</v>
      </c>
      <c r="AE181">
        <v>8.4000000000000003E-4</v>
      </c>
      <c r="AF181">
        <v>0</v>
      </c>
      <c r="AG181">
        <v>3.81E-3</v>
      </c>
      <c r="AH181">
        <v>0</v>
      </c>
      <c r="AI181">
        <v>2.14E-3</v>
      </c>
    </row>
    <row r="182" spans="1:35" x14ac:dyDescent="0.25">
      <c r="A182" s="1">
        <v>44592</v>
      </c>
      <c r="B182" s="8">
        <v>5.0000000000000001E-4</v>
      </c>
      <c r="C182">
        <v>-1.0800000000000001E-2</v>
      </c>
      <c r="D182">
        <v>-5.258516500531063E-2</v>
      </c>
      <c r="E182">
        <v>-1.57E-3</v>
      </c>
      <c r="F182">
        <v>-9.1400000000000006E-3</v>
      </c>
      <c r="G182">
        <v>-2.7999999999999998E-4</v>
      </c>
      <c r="H182">
        <v>3.7100000000000002E-3</v>
      </c>
      <c r="I182">
        <v>-1.0120000000000001E-2</v>
      </c>
      <c r="J182">
        <v>0</v>
      </c>
      <c r="K182">
        <v>0</v>
      </c>
      <c r="L182">
        <v>1.3350000000000001E-2</v>
      </c>
      <c r="M182">
        <v>0</v>
      </c>
      <c r="N182">
        <v>-7.2700000000000004E-3</v>
      </c>
      <c r="O182">
        <v>0</v>
      </c>
      <c r="P182">
        <v>0</v>
      </c>
      <c r="Q182">
        <v>-2.0500000000000002E-3</v>
      </c>
      <c r="R182">
        <v>0</v>
      </c>
      <c r="S182">
        <v>0</v>
      </c>
      <c r="T182">
        <v>-8.0000000000000004E-4</v>
      </c>
      <c r="U182">
        <v>0</v>
      </c>
      <c r="V182">
        <v>0</v>
      </c>
      <c r="W182">
        <v>0</v>
      </c>
      <c r="X182">
        <v>-1.124E-2</v>
      </c>
      <c r="Y182">
        <v>1.9189999999999999E-2</v>
      </c>
      <c r="Z182">
        <v>0</v>
      </c>
      <c r="AA182">
        <v>0</v>
      </c>
      <c r="AB182">
        <v>0</v>
      </c>
      <c r="AC182">
        <v>-5.3899999999999998E-3</v>
      </c>
      <c r="AD182">
        <v>0</v>
      </c>
      <c r="AE182">
        <v>0</v>
      </c>
      <c r="AF182">
        <v>0</v>
      </c>
      <c r="AG182">
        <v>-4.8399999999999997E-3</v>
      </c>
      <c r="AH182">
        <v>0</v>
      </c>
      <c r="AI182">
        <v>1.6990000000000002E-2</v>
      </c>
    </row>
    <row r="183" spans="1:35" x14ac:dyDescent="0.25">
      <c r="A183" s="1">
        <v>44620</v>
      </c>
      <c r="B183" s="8">
        <v>2.5000000000000001E-3</v>
      </c>
      <c r="C183">
        <v>-1.7399999999999999E-2</v>
      </c>
      <c r="D183">
        <v>-3.1360492102910142E-2</v>
      </c>
      <c r="E183">
        <v>-5.4000000000000003E-3</v>
      </c>
      <c r="F183">
        <v>2.3700000000000001E-3</v>
      </c>
      <c r="G183">
        <v>1.3500000000000001E-3</v>
      </c>
      <c r="H183">
        <v>-4.1999999999999997E-3</v>
      </c>
      <c r="I183">
        <v>-9.6100000000000005E-3</v>
      </c>
      <c r="J183">
        <v>0</v>
      </c>
      <c r="K183">
        <v>0</v>
      </c>
      <c r="L183">
        <v>4.4299999999999999E-3</v>
      </c>
      <c r="M183">
        <v>0</v>
      </c>
      <c r="N183">
        <v>3.63E-3</v>
      </c>
      <c r="O183">
        <v>0</v>
      </c>
      <c r="P183">
        <v>0</v>
      </c>
      <c r="Q183">
        <v>-1.6999999999999999E-3</v>
      </c>
      <c r="R183">
        <v>0</v>
      </c>
      <c r="S183">
        <v>0</v>
      </c>
      <c r="T183">
        <v>-1.1800000000000001E-3</v>
      </c>
      <c r="U183">
        <v>0</v>
      </c>
      <c r="V183">
        <v>0</v>
      </c>
      <c r="W183">
        <v>0</v>
      </c>
      <c r="X183">
        <v>-2.7999999999999998E-4</v>
      </c>
      <c r="Y183">
        <v>1.031E-2</v>
      </c>
      <c r="Z183">
        <v>0</v>
      </c>
      <c r="AA183">
        <v>0</v>
      </c>
      <c r="AB183">
        <v>0</v>
      </c>
      <c r="AC183">
        <v>-4.4900000000000001E-3</v>
      </c>
      <c r="AD183">
        <v>0</v>
      </c>
      <c r="AE183">
        <v>0</v>
      </c>
      <c r="AF183">
        <v>0</v>
      </c>
      <c r="AG183">
        <v>4.1099999999999999E-3</v>
      </c>
      <c r="AH183">
        <v>0</v>
      </c>
      <c r="AI183">
        <v>3.0999999999999999E-3</v>
      </c>
    </row>
    <row r="184" spans="1:35" x14ac:dyDescent="0.25">
      <c r="A184" s="1">
        <v>44651</v>
      </c>
      <c r="B184" s="8">
        <v>0.03</v>
      </c>
      <c r="C184">
        <v>3.3000000000000002E-2</v>
      </c>
      <c r="D184">
        <v>3.5773288410591908E-2</v>
      </c>
      <c r="E184">
        <v>5.7499999999999999E-3</v>
      </c>
      <c r="F184">
        <v>5.4599999999999996E-3</v>
      </c>
      <c r="G184">
        <v>-3.5699999999999998E-3</v>
      </c>
      <c r="H184">
        <v>-6.2700000000000004E-3</v>
      </c>
      <c r="I184">
        <v>3.3800000000000002E-3</v>
      </c>
      <c r="J184">
        <v>0</v>
      </c>
      <c r="K184">
        <v>0</v>
      </c>
      <c r="L184">
        <v>3.3600000000000001E-3</v>
      </c>
      <c r="M184">
        <v>0</v>
      </c>
      <c r="N184">
        <v>-7.1900000000000002E-3</v>
      </c>
      <c r="O184">
        <v>0</v>
      </c>
      <c r="P184">
        <v>0</v>
      </c>
      <c r="Q184">
        <v>-1.4300000000000001E-3</v>
      </c>
      <c r="R184">
        <v>0</v>
      </c>
      <c r="S184">
        <v>0</v>
      </c>
      <c r="T184" s="2">
        <v>2.0000000000000002E-5</v>
      </c>
      <c r="U184">
        <v>0</v>
      </c>
      <c r="V184">
        <v>0</v>
      </c>
      <c r="W184">
        <v>0</v>
      </c>
      <c r="X184">
        <v>7.9900000000000006E-3</v>
      </c>
      <c r="Y184">
        <v>1.9259999999999999E-2</v>
      </c>
      <c r="Z184">
        <v>0</v>
      </c>
      <c r="AA184">
        <v>0</v>
      </c>
      <c r="AB184">
        <v>0</v>
      </c>
      <c r="AC184">
        <v>-2.1700000000000001E-3</v>
      </c>
      <c r="AD184">
        <v>0</v>
      </c>
      <c r="AE184">
        <v>0</v>
      </c>
      <c r="AF184">
        <v>0</v>
      </c>
      <c r="AG184">
        <v>1.64E-3</v>
      </c>
      <c r="AH184">
        <v>0</v>
      </c>
      <c r="AI184">
        <v>3.7399999999999998E-3</v>
      </c>
    </row>
    <row r="185" spans="1:35" x14ac:dyDescent="0.25">
      <c r="A185" s="1">
        <v>44680</v>
      </c>
      <c r="B185" s="8">
        <v>-0.1411</v>
      </c>
      <c r="C185">
        <v>-7.4499999999999997E-2</v>
      </c>
      <c r="D185">
        <v>-8.7956711705729274E-2</v>
      </c>
      <c r="E185">
        <v>-9.7099999999999999E-3</v>
      </c>
      <c r="F185">
        <v>-2.112E-2</v>
      </c>
      <c r="G185">
        <v>-1.1780000000000001E-2</v>
      </c>
      <c r="H185">
        <v>-1.3440000000000001E-2</v>
      </c>
      <c r="I185">
        <v>-1.8249999999999999E-2</v>
      </c>
      <c r="J185">
        <v>0</v>
      </c>
      <c r="K185">
        <v>0</v>
      </c>
      <c r="L185">
        <v>-2.63E-3</v>
      </c>
      <c r="M185">
        <v>0</v>
      </c>
      <c r="N185">
        <v>-1.7590000000000001E-2</v>
      </c>
      <c r="O185">
        <v>0</v>
      </c>
      <c r="P185">
        <v>0</v>
      </c>
      <c r="Q185">
        <v>-4.3400000000000001E-3</v>
      </c>
      <c r="R185">
        <v>0</v>
      </c>
      <c r="S185">
        <v>0</v>
      </c>
      <c r="T185">
        <v>-3.8000000000000002E-4</v>
      </c>
      <c r="U185">
        <v>0</v>
      </c>
      <c r="V185">
        <v>0</v>
      </c>
      <c r="W185">
        <v>0</v>
      </c>
      <c r="X185">
        <v>-2.1489999999999999E-2</v>
      </c>
      <c r="Y185">
        <v>-1.8600000000000001E-3</v>
      </c>
      <c r="Z185">
        <v>0</v>
      </c>
      <c r="AA185">
        <v>0</v>
      </c>
      <c r="AB185">
        <v>0</v>
      </c>
      <c r="AC185">
        <v>-7.0600000000000003E-3</v>
      </c>
      <c r="AD185">
        <v>0</v>
      </c>
      <c r="AE185">
        <v>0</v>
      </c>
      <c r="AF185">
        <v>0</v>
      </c>
      <c r="AG185">
        <v>-1.375E-2</v>
      </c>
      <c r="AH185">
        <v>0</v>
      </c>
      <c r="AI185">
        <v>2.2699999999999999E-3</v>
      </c>
    </row>
    <row r="186" spans="1:35" x14ac:dyDescent="0.25">
      <c r="A186" s="1">
        <v>44712</v>
      </c>
      <c r="B186" s="8">
        <v>3.7400000000000003E-2</v>
      </c>
      <c r="C186">
        <v>2.8899999999999999E-2</v>
      </c>
      <c r="D186">
        <v>5.3177568506868056E-5</v>
      </c>
      <c r="E186">
        <v>-5.4400000000000004E-3</v>
      </c>
      <c r="F186">
        <v>-2.9099999999999998E-3</v>
      </c>
      <c r="G186">
        <v>-6.1999999999999998E-3</v>
      </c>
      <c r="H186">
        <v>4.2599999999999999E-3</v>
      </c>
      <c r="I186">
        <v>7.11E-3</v>
      </c>
      <c r="J186">
        <v>0</v>
      </c>
      <c r="K186">
        <v>0</v>
      </c>
      <c r="L186">
        <v>1.061E-2</v>
      </c>
      <c r="M186">
        <v>0</v>
      </c>
      <c r="N186">
        <v>-1.01E-3</v>
      </c>
      <c r="O186">
        <v>0</v>
      </c>
      <c r="P186">
        <v>0</v>
      </c>
      <c r="Q186">
        <v>4.0000000000000001E-3</v>
      </c>
      <c r="R186">
        <v>0</v>
      </c>
      <c r="S186">
        <v>0</v>
      </c>
      <c r="T186">
        <v>5.5999999999999995E-4</v>
      </c>
      <c r="U186">
        <v>0</v>
      </c>
      <c r="V186">
        <v>0</v>
      </c>
      <c r="W186">
        <v>0</v>
      </c>
      <c r="X186">
        <v>4.4999999999999999E-4</v>
      </c>
      <c r="Y186">
        <v>1.6549999999999999E-2</v>
      </c>
      <c r="Z186">
        <v>0</v>
      </c>
      <c r="AA186">
        <v>0</v>
      </c>
      <c r="AB186">
        <v>0</v>
      </c>
      <c r="AC186">
        <v>-1.9400000000000001E-3</v>
      </c>
      <c r="AD186">
        <v>0</v>
      </c>
      <c r="AE186">
        <v>0</v>
      </c>
      <c r="AF186">
        <v>0</v>
      </c>
      <c r="AG186">
        <v>1.8E-3</v>
      </c>
      <c r="AH186">
        <v>0</v>
      </c>
      <c r="AI186">
        <v>9.5999999999999992E-3</v>
      </c>
    </row>
    <row r="187" spans="1:35" x14ac:dyDescent="0.25">
      <c r="A187" s="1">
        <v>44742</v>
      </c>
      <c r="B187" s="8">
        <v>-0.113</v>
      </c>
      <c r="C187">
        <v>-8.2299999999999998E-2</v>
      </c>
      <c r="D187">
        <v>-8.3919999812243073E-2</v>
      </c>
      <c r="E187">
        <v>-8.1399999999999997E-3</v>
      </c>
      <c r="F187">
        <v>-1.035E-2</v>
      </c>
      <c r="G187">
        <v>2.14E-3</v>
      </c>
      <c r="H187">
        <v>-1.575E-2</v>
      </c>
      <c r="I187">
        <v>-8.2400000000000008E-3</v>
      </c>
      <c r="J187">
        <v>0</v>
      </c>
      <c r="K187">
        <v>0</v>
      </c>
      <c r="L187">
        <v>-1.14E-2</v>
      </c>
      <c r="M187">
        <v>0</v>
      </c>
      <c r="N187">
        <v>-1.372E-2</v>
      </c>
      <c r="O187">
        <v>0</v>
      </c>
      <c r="P187">
        <v>0</v>
      </c>
      <c r="Q187">
        <v>-5.4999999999999997E-3</v>
      </c>
      <c r="R187">
        <v>0</v>
      </c>
      <c r="S187">
        <v>0</v>
      </c>
      <c r="T187">
        <v>-1.64E-3</v>
      </c>
      <c r="U187">
        <v>0</v>
      </c>
      <c r="V187">
        <v>0</v>
      </c>
      <c r="W187">
        <v>0</v>
      </c>
      <c r="X187">
        <v>-1.261E-2</v>
      </c>
      <c r="Y187">
        <v>-9.5300000000000003E-3</v>
      </c>
      <c r="Z187">
        <v>0</v>
      </c>
      <c r="AA187">
        <v>0</v>
      </c>
      <c r="AB187">
        <v>0</v>
      </c>
      <c r="AC187">
        <v>-1.077E-2</v>
      </c>
      <c r="AD187">
        <v>0</v>
      </c>
      <c r="AE187">
        <v>0</v>
      </c>
      <c r="AF187">
        <v>0</v>
      </c>
      <c r="AG187">
        <v>1.3999999999999999E-4</v>
      </c>
      <c r="AH187">
        <v>0</v>
      </c>
      <c r="AI187">
        <v>-7.6E-3</v>
      </c>
    </row>
    <row r="188" spans="1:35" x14ac:dyDescent="0.25">
      <c r="A188" s="1">
        <v>44771</v>
      </c>
      <c r="B188" s="8">
        <v>0.1351</v>
      </c>
      <c r="C188">
        <v>8.48E-2</v>
      </c>
      <c r="D188">
        <v>9.1116391659653351E-2</v>
      </c>
      <c r="E188">
        <v>1.8859999999999998E-2</v>
      </c>
      <c r="F188">
        <v>2.4060000000000002E-2</v>
      </c>
      <c r="G188">
        <v>8.7399999999999995E-3</v>
      </c>
      <c r="H188">
        <v>8.6099999999999996E-3</v>
      </c>
      <c r="I188">
        <v>9.8700000000000003E-3</v>
      </c>
      <c r="J188">
        <v>0</v>
      </c>
      <c r="K188">
        <v>0</v>
      </c>
      <c r="L188">
        <v>4.9699999999999996E-3</v>
      </c>
      <c r="M188">
        <v>0</v>
      </c>
      <c r="N188">
        <v>1.171E-2</v>
      </c>
      <c r="O188">
        <v>0</v>
      </c>
      <c r="P188">
        <v>0</v>
      </c>
      <c r="Q188">
        <v>1.24E-3</v>
      </c>
      <c r="R188">
        <v>0</v>
      </c>
      <c r="S188">
        <v>0</v>
      </c>
      <c r="T188">
        <v>1.31E-3</v>
      </c>
      <c r="U188">
        <v>0</v>
      </c>
      <c r="V188">
        <v>0</v>
      </c>
      <c r="W188">
        <v>0</v>
      </c>
      <c r="X188">
        <v>1.3299999999999999E-2</v>
      </c>
      <c r="Y188">
        <v>7.4799999999999997E-3</v>
      </c>
      <c r="Z188">
        <v>0</v>
      </c>
      <c r="AA188">
        <v>0</v>
      </c>
      <c r="AB188">
        <v>0</v>
      </c>
      <c r="AC188">
        <v>9.9000000000000008E-3</v>
      </c>
      <c r="AD188">
        <v>0</v>
      </c>
      <c r="AE188">
        <v>0</v>
      </c>
      <c r="AF188">
        <v>0</v>
      </c>
      <c r="AG188">
        <v>5.7800000000000004E-3</v>
      </c>
      <c r="AH188">
        <v>0</v>
      </c>
      <c r="AI188">
        <v>9.2800000000000001E-3</v>
      </c>
    </row>
    <row r="189" spans="1:35" x14ac:dyDescent="0.25">
      <c r="A189" s="1">
        <v>44804</v>
      </c>
      <c r="B189" s="8">
        <v>-8.6E-3</v>
      </c>
      <c r="C189">
        <v>-2.6499999999999999E-2</v>
      </c>
      <c r="D189">
        <v>-4.2440128258508625E-2</v>
      </c>
      <c r="E189">
        <v>-3.1099999999999999E-3</v>
      </c>
      <c r="F189">
        <v>-5.3899999999999998E-3</v>
      </c>
      <c r="G189">
        <v>3.1E-4</v>
      </c>
      <c r="H189">
        <v>-5.9000000000000003E-4</v>
      </c>
      <c r="I189">
        <v>-4.2000000000000002E-4</v>
      </c>
      <c r="J189">
        <v>0</v>
      </c>
      <c r="K189">
        <v>0</v>
      </c>
      <c r="L189">
        <v>7.5100000000000002E-3</v>
      </c>
      <c r="M189">
        <v>0</v>
      </c>
      <c r="N189">
        <v>5.3299999999999997E-3</v>
      </c>
      <c r="O189">
        <v>0</v>
      </c>
      <c r="P189">
        <v>0</v>
      </c>
      <c r="Q189">
        <v>-5.1999999999999995E-4</v>
      </c>
      <c r="R189">
        <v>0</v>
      </c>
      <c r="S189">
        <v>0</v>
      </c>
      <c r="T189">
        <v>-1.49E-3</v>
      </c>
      <c r="U189">
        <v>0</v>
      </c>
      <c r="V189">
        <v>0</v>
      </c>
      <c r="W189">
        <v>0</v>
      </c>
      <c r="X189">
        <v>-1.1339999999999999E-2</v>
      </c>
      <c r="Y189">
        <v>5.1200000000000004E-3</v>
      </c>
      <c r="Z189">
        <v>0</v>
      </c>
      <c r="AA189">
        <v>0</v>
      </c>
      <c r="AB189">
        <v>0</v>
      </c>
      <c r="AC189">
        <v>-4.1999999999999997E-3</v>
      </c>
      <c r="AD189">
        <v>0</v>
      </c>
      <c r="AE189">
        <v>0</v>
      </c>
      <c r="AF189">
        <v>0</v>
      </c>
      <c r="AG189">
        <v>5.0000000000000001E-4</v>
      </c>
      <c r="AH189">
        <v>0</v>
      </c>
      <c r="AI189">
        <v>-3.3E-4</v>
      </c>
    </row>
    <row r="190" spans="1:35" x14ac:dyDescent="0.25">
      <c r="A190" s="1">
        <v>44834</v>
      </c>
      <c r="B190" s="8">
        <v>-0.13250000000000001</v>
      </c>
      <c r="C190">
        <v>-0.1113</v>
      </c>
      <c r="D190">
        <v>-9.3395672060682666E-2</v>
      </c>
      <c r="E190">
        <v>-1.21E-2</v>
      </c>
      <c r="F190">
        <v>-9.6600000000000002E-3</v>
      </c>
      <c r="G190">
        <v>-1.2930000000000001E-2</v>
      </c>
      <c r="H190">
        <v>-9.4900000000000002E-3</v>
      </c>
      <c r="I190">
        <v>-1.669E-2</v>
      </c>
      <c r="J190">
        <v>0</v>
      </c>
      <c r="K190">
        <v>0</v>
      </c>
      <c r="L190">
        <v>-3.0599999999999998E-3</v>
      </c>
      <c r="M190">
        <v>0</v>
      </c>
      <c r="N190">
        <v>-1.4970000000000001E-2</v>
      </c>
      <c r="O190">
        <v>0</v>
      </c>
      <c r="P190">
        <v>0</v>
      </c>
      <c r="Q190">
        <v>-3.0100000000000001E-3</v>
      </c>
      <c r="R190">
        <v>0</v>
      </c>
      <c r="S190">
        <v>0</v>
      </c>
      <c r="T190">
        <v>-1.3699999999999999E-3</v>
      </c>
      <c r="U190">
        <v>0</v>
      </c>
      <c r="V190">
        <v>0</v>
      </c>
      <c r="W190">
        <v>0</v>
      </c>
      <c r="X190">
        <v>-1.312E-2</v>
      </c>
      <c r="Y190">
        <v>-8.5000000000000006E-3</v>
      </c>
      <c r="Z190">
        <v>0</v>
      </c>
      <c r="AA190">
        <v>0</v>
      </c>
      <c r="AB190">
        <v>0</v>
      </c>
      <c r="AC190">
        <v>-7.0400000000000003E-3</v>
      </c>
      <c r="AD190">
        <v>0</v>
      </c>
      <c r="AE190">
        <v>0</v>
      </c>
      <c r="AF190">
        <v>0</v>
      </c>
      <c r="AG190">
        <v>-1.4489999999999999E-2</v>
      </c>
      <c r="AH190">
        <v>0</v>
      </c>
      <c r="AI190">
        <v>-6.1000000000000004E-3</v>
      </c>
    </row>
    <row r="191" spans="1:35" x14ac:dyDescent="0.25">
      <c r="A191" s="1">
        <v>44865</v>
      </c>
      <c r="B191" s="8">
        <v>0.14030000000000001</v>
      </c>
      <c r="C191">
        <v>0.1187</v>
      </c>
      <c r="D191">
        <v>7.9863413762746971E-2</v>
      </c>
      <c r="E191">
        <v>1.0959999999999999E-2</v>
      </c>
      <c r="F191">
        <v>-8.3099999999999997E-3</v>
      </c>
      <c r="G191">
        <v>9.3600000000000003E-3</v>
      </c>
      <c r="H191">
        <v>1.934E-2</v>
      </c>
      <c r="I191">
        <v>1.738E-2</v>
      </c>
      <c r="J191">
        <v>0</v>
      </c>
      <c r="K191">
        <v>0</v>
      </c>
      <c r="L191">
        <v>1.3599999999999999E-2</v>
      </c>
      <c r="M191">
        <v>0</v>
      </c>
      <c r="N191">
        <v>1.223E-2</v>
      </c>
      <c r="O191">
        <v>0</v>
      </c>
      <c r="P191">
        <v>0</v>
      </c>
      <c r="Q191">
        <v>7.9500000000000005E-3</v>
      </c>
      <c r="R191">
        <v>0</v>
      </c>
      <c r="S191">
        <v>0</v>
      </c>
      <c r="T191">
        <v>1.6999999999999999E-3</v>
      </c>
      <c r="U191">
        <v>0</v>
      </c>
      <c r="V191">
        <v>0</v>
      </c>
      <c r="W191">
        <v>0</v>
      </c>
      <c r="X191">
        <v>7.5100000000000002E-3</v>
      </c>
      <c r="Y191">
        <v>1.163E-2</v>
      </c>
      <c r="Z191">
        <v>0</v>
      </c>
      <c r="AA191">
        <v>0</v>
      </c>
      <c r="AB191">
        <v>0</v>
      </c>
      <c r="AC191">
        <v>1.468E-2</v>
      </c>
      <c r="AD191">
        <v>0</v>
      </c>
      <c r="AE191">
        <v>0</v>
      </c>
      <c r="AF191">
        <v>0</v>
      </c>
      <c r="AG191">
        <v>3.3E-3</v>
      </c>
      <c r="AH191">
        <v>0</v>
      </c>
      <c r="AI191">
        <v>1.8950000000000002E-2</v>
      </c>
    </row>
    <row r="192" spans="1:35" x14ac:dyDescent="0.25">
      <c r="A192" s="1">
        <v>44895</v>
      </c>
      <c r="B192" s="8">
        <v>4.9799999999999997E-2</v>
      </c>
      <c r="C192">
        <v>6.5600000000000006E-2</v>
      </c>
      <c r="D192">
        <v>5.3752893371106669E-2</v>
      </c>
      <c r="E192">
        <v>-3.31E-3</v>
      </c>
      <c r="F192">
        <v>-5.1200000000000004E-3</v>
      </c>
      <c r="G192">
        <v>1.35E-2</v>
      </c>
      <c r="H192">
        <v>5.0200000000000002E-3</v>
      </c>
      <c r="I192">
        <v>1.085E-2</v>
      </c>
      <c r="J192">
        <v>0</v>
      </c>
      <c r="K192">
        <v>0</v>
      </c>
      <c r="L192">
        <v>-9.6000000000000002E-4</v>
      </c>
      <c r="M192">
        <v>0</v>
      </c>
      <c r="N192">
        <v>-7.6899999999999998E-3</v>
      </c>
      <c r="O192">
        <v>0</v>
      </c>
      <c r="P192">
        <v>0</v>
      </c>
      <c r="Q192">
        <v>3.63E-3</v>
      </c>
      <c r="R192">
        <v>0</v>
      </c>
      <c r="S192">
        <v>0</v>
      </c>
      <c r="T192">
        <v>1.6000000000000001E-4</v>
      </c>
      <c r="U192">
        <v>0</v>
      </c>
      <c r="V192">
        <v>0</v>
      </c>
      <c r="W192">
        <v>0</v>
      </c>
      <c r="X192">
        <v>1.7049999999999999E-2</v>
      </c>
      <c r="Y192">
        <v>-2.7499999999999998E-3</v>
      </c>
      <c r="Z192">
        <v>0</v>
      </c>
      <c r="AA192">
        <v>0</v>
      </c>
      <c r="AB192">
        <v>0</v>
      </c>
      <c r="AC192">
        <v>6.5700000000000003E-3</v>
      </c>
      <c r="AD192">
        <v>0</v>
      </c>
      <c r="AE192">
        <v>0</v>
      </c>
      <c r="AF192">
        <v>0</v>
      </c>
      <c r="AG192">
        <v>1.197E-2</v>
      </c>
      <c r="AH192">
        <v>0</v>
      </c>
      <c r="AI192">
        <v>9.1E-4</v>
      </c>
    </row>
    <row r="193" spans="1:35" x14ac:dyDescent="0.25">
      <c r="A193" s="1">
        <v>44925</v>
      </c>
      <c r="B193" s="8">
        <v>0</v>
      </c>
      <c r="C193">
        <v>0</v>
      </c>
      <c r="D193">
        <v>-5.8971473977430078E-2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</row>
    <row r="194" spans="1:35" x14ac:dyDescent="0.25">
      <c r="A194" s="3" t="s">
        <v>36</v>
      </c>
      <c r="B194" s="6" cm="1">
        <f t="array" ref="B194">GEOMEAN(1+B2:B193)^12-1</f>
        <v>0.13277367096726</v>
      </c>
      <c r="C194" s="6" cm="1">
        <f t="array" ref="C194">GEOMEAN(1+C2:C193)^12-1</f>
        <v>0.1340959749446462</v>
      </c>
      <c r="D194" s="6" cm="1">
        <f t="array" ref="D194">GEOMEAN(1+D2:D193)^12-1</f>
        <v>6.4220598295036346E-2</v>
      </c>
    </row>
    <row r="195" spans="1:35" x14ac:dyDescent="0.25">
      <c r="A195" t="s">
        <v>37</v>
      </c>
      <c r="B195" s="4">
        <f>_xlfn.STDEV.S(B2:B193)</f>
        <v>5.3676748931661279E-2</v>
      </c>
      <c r="C195" s="4">
        <f t="shared" ref="C195:D195" si="0">_xlfn.STDEV.S(C2:C193)</f>
        <v>4.7160839700017346E-2</v>
      </c>
      <c r="D195" s="4">
        <f t="shared" si="0"/>
        <v>4.6100648371501803E-2</v>
      </c>
    </row>
    <row r="196" spans="1:35" x14ac:dyDescent="0.25">
      <c r="A196" t="s">
        <v>38</v>
      </c>
      <c r="B196" s="4">
        <f>B195*SQRT(12)</f>
        <v>0.18594171266951157</v>
      </c>
      <c r="C196" s="4">
        <f t="shared" ref="C196:D196" si="1">C195*SQRT(12)</f>
        <v>0.16336994097608282</v>
      </c>
      <c r="D196" s="4">
        <f t="shared" si="1"/>
        <v>0.15969733048261708</v>
      </c>
    </row>
    <row r="197" spans="1:35" x14ac:dyDescent="0.25">
      <c r="A197" t="s">
        <v>39</v>
      </c>
      <c r="B197" s="7">
        <f>B194/B196</f>
        <v>0.71406070784799536</v>
      </c>
      <c r="C197" s="7">
        <f t="shared" ref="C197:D197" si="2">C194/C196</f>
        <v>0.8208117977117817</v>
      </c>
      <c r="D197" s="7">
        <f t="shared" si="2"/>
        <v>0.40213946032132769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I210"/>
  <sheetViews>
    <sheetView zoomScaleNormal="100" workbookViewId="0">
      <pane ySplit="1" topLeftCell="A2" activePane="bottomLeft" state="frozen"/>
      <selection pane="bottomLeft" activeCell="B14" sqref="B14"/>
    </sheetView>
  </sheetViews>
  <sheetFormatPr defaultRowHeight="15" x14ac:dyDescent="0.25"/>
  <cols>
    <col min="1" max="1" width="10.7109375" bestFit="1" customWidth="1"/>
    <col min="2" max="2" width="13.28515625" bestFit="1" customWidth="1"/>
    <col min="3" max="3" width="19.85546875" bestFit="1" customWidth="1"/>
    <col min="4" max="4" width="12.7109375" bestFit="1" customWidth="1"/>
  </cols>
  <sheetData>
    <row r="1" spans="1:35" s="3" customFormat="1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3" t="s">
        <v>22</v>
      </c>
      <c r="X1" s="3" t="s">
        <v>23</v>
      </c>
      <c r="Y1" s="3" t="s">
        <v>24</v>
      </c>
      <c r="Z1" s="3" t="s">
        <v>25</v>
      </c>
      <c r="AA1" s="3" t="s">
        <v>26</v>
      </c>
      <c r="AB1" s="3" t="s">
        <v>27</v>
      </c>
      <c r="AC1" s="3" t="s">
        <v>28</v>
      </c>
      <c r="AD1" s="3" t="s">
        <v>29</v>
      </c>
      <c r="AE1" s="3" t="s">
        <v>30</v>
      </c>
      <c r="AF1" s="3" t="s">
        <v>31</v>
      </c>
      <c r="AG1" s="3" t="s">
        <v>32</v>
      </c>
      <c r="AH1" s="3" t="s">
        <v>33</v>
      </c>
      <c r="AI1" s="3" t="s">
        <v>34</v>
      </c>
    </row>
    <row r="2" spans="1:35" x14ac:dyDescent="0.25">
      <c r="A2" s="1">
        <v>39113</v>
      </c>
      <c r="B2">
        <v>1.2500000000000001E-2</v>
      </c>
      <c r="C2">
        <v>6.1999999999999998E-3</v>
      </c>
      <c r="D2">
        <v>1.4059077769160266E-2</v>
      </c>
      <c r="E2">
        <v>1.0499999999999999E-3</v>
      </c>
      <c r="F2">
        <v>-4.5399999999999998E-3</v>
      </c>
      <c r="G2">
        <v>0</v>
      </c>
      <c r="H2">
        <v>0</v>
      </c>
      <c r="I2">
        <v>0</v>
      </c>
      <c r="J2">
        <v>4.96E-3</v>
      </c>
      <c r="K2">
        <v>0</v>
      </c>
      <c r="L2">
        <v>0</v>
      </c>
      <c r="M2">
        <v>0</v>
      </c>
      <c r="N2">
        <v>2.63E-3</v>
      </c>
      <c r="O2">
        <v>0</v>
      </c>
      <c r="P2">
        <v>0</v>
      </c>
      <c r="Q2">
        <v>6.1500000000000001E-3</v>
      </c>
      <c r="R2">
        <v>0</v>
      </c>
      <c r="S2" s="2">
        <v>5.0000000000000002E-5</v>
      </c>
      <c r="T2">
        <v>0</v>
      </c>
      <c r="U2">
        <v>0</v>
      </c>
      <c r="V2">
        <v>0</v>
      </c>
      <c r="W2">
        <v>0</v>
      </c>
      <c r="X2">
        <v>-1.7180000000000001E-2</v>
      </c>
      <c r="Y2">
        <v>0</v>
      </c>
      <c r="Z2">
        <v>0</v>
      </c>
      <c r="AA2">
        <v>0</v>
      </c>
      <c r="AB2">
        <v>0</v>
      </c>
      <c r="AC2">
        <v>0</v>
      </c>
      <c r="AD2">
        <v>6.2500000000000003E-3</v>
      </c>
      <c r="AE2">
        <v>-1.8000000000000001E-4</v>
      </c>
      <c r="AF2">
        <v>0</v>
      </c>
      <c r="AG2">
        <v>0</v>
      </c>
      <c r="AH2">
        <v>1.332E-2</v>
      </c>
      <c r="AI2">
        <v>0</v>
      </c>
    </row>
    <row r="3" spans="1:35" x14ac:dyDescent="0.25">
      <c r="A3" s="1">
        <v>39141</v>
      </c>
      <c r="B3">
        <v>1.17E-2</v>
      </c>
      <c r="C3">
        <v>-6.7000000000000002E-3</v>
      </c>
      <c r="D3">
        <v>-2.1846176033528231E-2</v>
      </c>
      <c r="E3">
        <v>-1.31E-3</v>
      </c>
      <c r="F3">
        <v>3.8999999999999998E-3</v>
      </c>
      <c r="G3">
        <v>0</v>
      </c>
      <c r="H3">
        <v>0</v>
      </c>
      <c r="I3">
        <v>0</v>
      </c>
      <c r="J3">
        <v>5.5999999999999995E-4</v>
      </c>
      <c r="K3">
        <v>0</v>
      </c>
      <c r="L3">
        <v>0</v>
      </c>
      <c r="M3">
        <v>0</v>
      </c>
      <c r="N3">
        <v>-2.6199999999999999E-3</v>
      </c>
      <c r="O3">
        <v>0</v>
      </c>
      <c r="P3">
        <v>0</v>
      </c>
      <c r="Q3">
        <v>-3.0200000000000001E-3</v>
      </c>
      <c r="R3">
        <v>0</v>
      </c>
      <c r="S3">
        <v>-1.49E-3</v>
      </c>
      <c r="T3">
        <v>0</v>
      </c>
      <c r="U3">
        <v>0</v>
      </c>
      <c r="V3">
        <v>0</v>
      </c>
      <c r="W3">
        <v>0</v>
      </c>
      <c r="X3">
        <v>1.14E-3</v>
      </c>
      <c r="Y3">
        <v>0</v>
      </c>
      <c r="Z3">
        <v>0</v>
      </c>
      <c r="AA3">
        <v>0</v>
      </c>
      <c r="AB3">
        <v>0</v>
      </c>
      <c r="AC3">
        <v>0</v>
      </c>
      <c r="AD3">
        <v>-2.2100000000000002E-3</v>
      </c>
      <c r="AE3">
        <v>1.74E-3</v>
      </c>
      <c r="AF3">
        <v>0</v>
      </c>
      <c r="AG3">
        <v>0</v>
      </c>
      <c r="AH3">
        <v>1.499E-2</v>
      </c>
      <c r="AI3">
        <v>0</v>
      </c>
    </row>
    <row r="4" spans="1:35" x14ac:dyDescent="0.25">
      <c r="A4" s="1">
        <v>39171</v>
      </c>
      <c r="B4">
        <v>1.38E-2</v>
      </c>
      <c r="C4">
        <v>1.4999999999999999E-2</v>
      </c>
      <c r="D4">
        <v>9.9799828968305526E-3</v>
      </c>
      <c r="E4">
        <v>9.8099999999999993E-3</v>
      </c>
      <c r="F4">
        <v>1.66E-3</v>
      </c>
      <c r="G4">
        <v>0</v>
      </c>
      <c r="H4">
        <v>0</v>
      </c>
      <c r="I4">
        <v>0</v>
      </c>
      <c r="J4">
        <v>4.0400000000000002E-3</v>
      </c>
      <c r="K4">
        <v>0</v>
      </c>
      <c r="L4">
        <v>0</v>
      </c>
      <c r="M4">
        <v>0</v>
      </c>
      <c r="N4">
        <v>5.2999999999999998E-4</v>
      </c>
      <c r="O4">
        <v>0</v>
      </c>
      <c r="P4">
        <v>0</v>
      </c>
      <c r="Q4">
        <v>-2.0400000000000001E-3</v>
      </c>
      <c r="R4">
        <v>0</v>
      </c>
      <c r="S4">
        <v>3.1099999999999999E-3</v>
      </c>
      <c r="T4">
        <v>0</v>
      </c>
      <c r="U4">
        <v>0</v>
      </c>
      <c r="V4">
        <v>0</v>
      </c>
      <c r="W4">
        <v>0</v>
      </c>
      <c r="X4">
        <v>-7.1599999999999997E-3</v>
      </c>
      <c r="Y4">
        <v>0</v>
      </c>
      <c r="Z4">
        <v>0</v>
      </c>
      <c r="AA4">
        <v>0</v>
      </c>
      <c r="AB4">
        <v>0</v>
      </c>
      <c r="AC4">
        <v>0</v>
      </c>
      <c r="AD4">
        <v>7.1500000000000001E-3</v>
      </c>
      <c r="AE4">
        <v>-3.15E-3</v>
      </c>
      <c r="AF4">
        <v>0</v>
      </c>
      <c r="AG4">
        <v>0</v>
      </c>
      <c r="AH4">
        <v>-1.4999999999999999E-4</v>
      </c>
      <c r="AI4">
        <v>0</v>
      </c>
    </row>
    <row r="5" spans="1:35" x14ac:dyDescent="0.25">
      <c r="A5" s="1">
        <v>39202</v>
      </c>
      <c r="B5">
        <v>0.1051</v>
      </c>
      <c r="C5">
        <v>5.4800000000000001E-2</v>
      </c>
      <c r="D5">
        <v>4.3290690602424187E-2</v>
      </c>
      <c r="E5">
        <v>7.4200000000000004E-3</v>
      </c>
      <c r="F5">
        <v>5.4129999999999998E-2</v>
      </c>
      <c r="G5">
        <v>0</v>
      </c>
      <c r="H5">
        <v>0</v>
      </c>
      <c r="I5">
        <v>0</v>
      </c>
      <c r="J5">
        <v>8.7899999999999992E-3</v>
      </c>
      <c r="K5">
        <v>0</v>
      </c>
      <c r="L5">
        <v>0</v>
      </c>
      <c r="M5">
        <v>0</v>
      </c>
      <c r="N5">
        <v>1.6000000000000001E-3</v>
      </c>
      <c r="O5">
        <v>0</v>
      </c>
      <c r="P5">
        <v>0</v>
      </c>
      <c r="Q5">
        <v>8.3899999999999999E-3</v>
      </c>
      <c r="R5">
        <v>0</v>
      </c>
      <c r="S5">
        <v>7.1700000000000002E-3</v>
      </c>
      <c r="T5">
        <v>0</v>
      </c>
      <c r="U5">
        <v>0</v>
      </c>
      <c r="V5">
        <v>0</v>
      </c>
      <c r="W5">
        <v>0</v>
      </c>
      <c r="X5">
        <v>1.4279999999999999E-2</v>
      </c>
      <c r="Y5">
        <v>0</v>
      </c>
      <c r="Z5">
        <v>0</v>
      </c>
      <c r="AA5">
        <v>0</v>
      </c>
      <c r="AB5">
        <v>0</v>
      </c>
      <c r="AC5">
        <v>0</v>
      </c>
      <c r="AD5">
        <v>-8.9999999999999998E-4</v>
      </c>
      <c r="AE5">
        <v>-1.9499999999999999E-3</v>
      </c>
      <c r="AF5">
        <v>0</v>
      </c>
      <c r="AG5">
        <v>0</v>
      </c>
      <c r="AH5">
        <v>6.1700000000000001E-3</v>
      </c>
      <c r="AI5">
        <v>0</v>
      </c>
    </row>
    <row r="6" spans="1:35" x14ac:dyDescent="0.25">
      <c r="A6" s="1">
        <v>39233</v>
      </c>
      <c r="B6">
        <v>6.0600000000000001E-2</v>
      </c>
      <c r="C6">
        <v>3.7600000000000001E-2</v>
      </c>
      <c r="D6">
        <v>3.254922870993493E-2</v>
      </c>
      <c r="E6">
        <v>2.1430000000000001E-2</v>
      </c>
      <c r="F6">
        <v>1.273E-2</v>
      </c>
      <c r="G6">
        <v>0</v>
      </c>
      <c r="H6">
        <v>0</v>
      </c>
      <c r="I6">
        <v>0</v>
      </c>
      <c r="J6">
        <v>8.2100000000000003E-3</v>
      </c>
      <c r="K6">
        <v>0</v>
      </c>
      <c r="L6">
        <v>0</v>
      </c>
      <c r="M6">
        <v>0</v>
      </c>
      <c r="N6">
        <v>1.32E-3</v>
      </c>
      <c r="O6">
        <v>0</v>
      </c>
      <c r="P6">
        <v>0</v>
      </c>
      <c r="Q6">
        <v>-5.1999999999999995E-4</v>
      </c>
      <c r="R6">
        <v>0</v>
      </c>
      <c r="S6">
        <v>4.7000000000000002E-3</v>
      </c>
      <c r="T6">
        <v>0</v>
      </c>
      <c r="U6">
        <v>0</v>
      </c>
      <c r="V6">
        <v>0</v>
      </c>
      <c r="W6">
        <v>0</v>
      </c>
      <c r="X6">
        <v>5.3200000000000001E-3</v>
      </c>
      <c r="Y6">
        <v>0</v>
      </c>
      <c r="Z6">
        <v>0</v>
      </c>
      <c r="AA6">
        <v>0</v>
      </c>
      <c r="AB6">
        <v>0</v>
      </c>
      <c r="AC6">
        <v>0</v>
      </c>
      <c r="AD6">
        <v>6.77E-3</v>
      </c>
      <c r="AE6">
        <v>3.5100000000000001E-3</v>
      </c>
      <c r="AF6">
        <v>0</v>
      </c>
      <c r="AG6">
        <v>0</v>
      </c>
      <c r="AH6">
        <v>-2.8500000000000001E-3</v>
      </c>
      <c r="AI6">
        <v>0</v>
      </c>
    </row>
    <row r="7" spans="1:35" x14ac:dyDescent="0.25">
      <c r="A7" s="1">
        <v>39262</v>
      </c>
      <c r="B7">
        <v>1.29E-2</v>
      </c>
      <c r="C7">
        <v>-8.0000000000000002E-3</v>
      </c>
      <c r="D7">
        <v>-1.7816322202167556E-2</v>
      </c>
      <c r="E7">
        <v>6.9999999999999999E-4</v>
      </c>
      <c r="F7">
        <v>-1.06E-3</v>
      </c>
      <c r="G7">
        <v>0</v>
      </c>
      <c r="H7">
        <v>0</v>
      </c>
      <c r="I7">
        <v>0</v>
      </c>
      <c r="J7">
        <v>-3.6000000000000002E-4</v>
      </c>
      <c r="K7">
        <v>0</v>
      </c>
      <c r="L7">
        <v>0</v>
      </c>
      <c r="M7">
        <v>0</v>
      </c>
      <c r="N7">
        <v>-2.31E-3</v>
      </c>
      <c r="O7">
        <v>0</v>
      </c>
      <c r="P7">
        <v>0</v>
      </c>
      <c r="Q7">
        <v>-6.5199999999999998E-3</v>
      </c>
      <c r="R7">
        <v>0</v>
      </c>
      <c r="S7">
        <v>4.2000000000000002E-4</v>
      </c>
      <c r="T7">
        <v>0</v>
      </c>
      <c r="U7">
        <v>0</v>
      </c>
      <c r="V7">
        <v>0</v>
      </c>
      <c r="W7">
        <v>0</v>
      </c>
      <c r="X7">
        <v>1.9259999999999999E-2</v>
      </c>
      <c r="Y7">
        <v>0</v>
      </c>
      <c r="Z7">
        <v>0</v>
      </c>
      <c r="AA7">
        <v>0</v>
      </c>
      <c r="AB7">
        <v>0</v>
      </c>
      <c r="AC7">
        <v>0</v>
      </c>
      <c r="AD7">
        <v>3.8999999999999999E-4</v>
      </c>
      <c r="AE7">
        <v>6.6400000000000001E-3</v>
      </c>
      <c r="AF7">
        <v>0</v>
      </c>
      <c r="AG7">
        <v>0</v>
      </c>
      <c r="AH7">
        <v>-4.3E-3</v>
      </c>
      <c r="AI7">
        <v>0</v>
      </c>
    </row>
    <row r="8" spans="1:35" x14ac:dyDescent="0.25">
      <c r="A8" s="1">
        <v>39294</v>
      </c>
      <c r="B8">
        <v>-1.2800000000000001E-2</v>
      </c>
      <c r="C8">
        <v>-8.3999999999999995E-3</v>
      </c>
      <c r="D8">
        <v>-3.1981878316802548E-2</v>
      </c>
      <c r="E8">
        <v>7.9600000000000001E-3</v>
      </c>
      <c r="F8">
        <v>1.481E-2</v>
      </c>
      <c r="G8">
        <v>0</v>
      </c>
      <c r="H8">
        <v>0</v>
      </c>
      <c r="I8">
        <v>0</v>
      </c>
      <c r="J8">
        <v>1.1000000000000001E-3</v>
      </c>
      <c r="K8">
        <v>0</v>
      </c>
      <c r="L8">
        <v>0</v>
      </c>
      <c r="M8">
        <v>0</v>
      </c>
      <c r="N8">
        <v>-3.3400000000000001E-3</v>
      </c>
      <c r="O8">
        <v>0</v>
      </c>
      <c r="P8">
        <v>0</v>
      </c>
      <c r="Q8">
        <v>-8.3800000000000003E-3</v>
      </c>
      <c r="R8">
        <v>0</v>
      </c>
      <c r="S8">
        <v>-5.6899999999999997E-3</v>
      </c>
      <c r="T8">
        <v>0</v>
      </c>
      <c r="U8">
        <v>0</v>
      </c>
      <c r="V8">
        <v>0</v>
      </c>
      <c r="W8">
        <v>0</v>
      </c>
      <c r="X8">
        <v>1.077E-2</v>
      </c>
      <c r="Y8">
        <v>0</v>
      </c>
      <c r="Z8">
        <v>0</v>
      </c>
      <c r="AA8">
        <v>0</v>
      </c>
      <c r="AB8">
        <v>0</v>
      </c>
      <c r="AC8">
        <v>0</v>
      </c>
      <c r="AD8">
        <v>-4.7800000000000004E-3</v>
      </c>
      <c r="AE8">
        <v>-8.8000000000000005E-3</v>
      </c>
      <c r="AF8">
        <v>0</v>
      </c>
      <c r="AG8">
        <v>0</v>
      </c>
      <c r="AH8">
        <v>-1.643E-2</v>
      </c>
      <c r="AI8">
        <v>0</v>
      </c>
    </row>
    <row r="9" spans="1:35" x14ac:dyDescent="0.25">
      <c r="A9" s="1">
        <v>39325</v>
      </c>
      <c r="B9">
        <v>1.47E-2</v>
      </c>
      <c r="C9">
        <v>2.06E-2</v>
      </c>
      <c r="D9">
        <v>1.2863571531556817E-2</v>
      </c>
      <c r="E9">
        <v>5.1000000000000004E-3</v>
      </c>
      <c r="F9">
        <v>1.74E-3</v>
      </c>
      <c r="G9">
        <v>0</v>
      </c>
      <c r="H9">
        <v>0</v>
      </c>
      <c r="I9">
        <v>0</v>
      </c>
      <c r="J9">
        <v>-3.8500000000000001E-3</v>
      </c>
      <c r="K9">
        <v>0</v>
      </c>
      <c r="L9">
        <v>0</v>
      </c>
      <c r="M9">
        <v>0</v>
      </c>
      <c r="N9">
        <v>1.82E-3</v>
      </c>
      <c r="O9">
        <v>0</v>
      </c>
      <c r="P9">
        <v>0</v>
      </c>
      <c r="Q9">
        <v>1.16E-3</v>
      </c>
      <c r="R9">
        <v>0</v>
      </c>
      <c r="S9">
        <v>2.8800000000000002E-3</v>
      </c>
      <c r="T9">
        <v>0</v>
      </c>
      <c r="U9">
        <v>0</v>
      </c>
      <c r="V9">
        <v>0</v>
      </c>
      <c r="W9">
        <v>0</v>
      </c>
      <c r="X9">
        <v>1.18E-2</v>
      </c>
      <c r="Y9">
        <v>0</v>
      </c>
      <c r="Z9">
        <v>0</v>
      </c>
      <c r="AA9">
        <v>0</v>
      </c>
      <c r="AB9">
        <v>0</v>
      </c>
      <c r="AC9">
        <v>0</v>
      </c>
      <c r="AD9">
        <v>1.81E-3</v>
      </c>
      <c r="AE9">
        <v>-2.2699999999999999E-3</v>
      </c>
      <c r="AF9">
        <v>0</v>
      </c>
      <c r="AG9">
        <v>0</v>
      </c>
      <c r="AH9">
        <v>-5.4799999999999996E-3</v>
      </c>
      <c r="AI9">
        <v>0</v>
      </c>
    </row>
    <row r="10" spans="1:35" x14ac:dyDescent="0.25">
      <c r="A10" s="1">
        <v>39353</v>
      </c>
      <c r="B10">
        <v>6.0199999999999997E-2</v>
      </c>
      <c r="C10">
        <v>5.0299999999999997E-2</v>
      </c>
      <c r="D10">
        <v>3.5794008343299488E-2</v>
      </c>
      <c r="E10">
        <v>1.082E-2</v>
      </c>
      <c r="F10">
        <v>1.6570000000000001E-2</v>
      </c>
      <c r="G10">
        <v>0</v>
      </c>
      <c r="H10">
        <v>0</v>
      </c>
      <c r="I10">
        <v>0</v>
      </c>
      <c r="J10">
        <v>3.5100000000000001E-3</v>
      </c>
      <c r="K10">
        <v>0</v>
      </c>
      <c r="L10">
        <v>0</v>
      </c>
      <c r="M10">
        <v>0</v>
      </c>
      <c r="N10">
        <v>2.3500000000000001E-3</v>
      </c>
      <c r="O10">
        <v>0</v>
      </c>
      <c r="P10">
        <v>0</v>
      </c>
      <c r="Q10">
        <v>2.9199999999999999E-3</v>
      </c>
      <c r="R10">
        <v>0</v>
      </c>
      <c r="S10">
        <v>1.06E-2</v>
      </c>
      <c r="T10">
        <v>0</v>
      </c>
      <c r="U10">
        <v>0</v>
      </c>
      <c r="V10">
        <v>0</v>
      </c>
      <c r="W10">
        <v>0</v>
      </c>
      <c r="X10">
        <v>6.2500000000000003E-3</v>
      </c>
      <c r="Y10">
        <v>0</v>
      </c>
      <c r="Z10">
        <v>0</v>
      </c>
      <c r="AA10">
        <v>0</v>
      </c>
      <c r="AB10">
        <v>0</v>
      </c>
      <c r="AC10">
        <v>0</v>
      </c>
      <c r="AD10">
        <v>6.1199999999999996E-3</v>
      </c>
      <c r="AE10">
        <v>2.0200000000000001E-3</v>
      </c>
      <c r="AF10">
        <v>0</v>
      </c>
      <c r="AG10">
        <v>0</v>
      </c>
      <c r="AH10">
        <v>-9.6000000000000002E-4</v>
      </c>
      <c r="AI10">
        <v>0</v>
      </c>
    </row>
    <row r="11" spans="1:35" x14ac:dyDescent="0.25">
      <c r="A11" s="1">
        <v>39386</v>
      </c>
      <c r="B11">
        <v>2.7300000000000001E-2</v>
      </c>
      <c r="C11">
        <v>3.4700000000000002E-2</v>
      </c>
      <c r="D11">
        <v>1.4822338300311211E-2</v>
      </c>
      <c r="E11">
        <v>2.3769999999999999E-2</v>
      </c>
      <c r="F11">
        <v>-4.2900000000000004E-3</v>
      </c>
      <c r="G11">
        <v>0</v>
      </c>
      <c r="H11">
        <v>0</v>
      </c>
      <c r="I11">
        <v>0</v>
      </c>
      <c r="J11">
        <v>-4.4099999999999999E-3</v>
      </c>
      <c r="K11">
        <v>0</v>
      </c>
      <c r="L11">
        <v>0</v>
      </c>
      <c r="M11">
        <v>0</v>
      </c>
      <c r="N11">
        <v>6.9999999999999999E-4</v>
      </c>
      <c r="O11">
        <v>0</v>
      </c>
      <c r="P11">
        <v>0</v>
      </c>
      <c r="Q11">
        <v>3.3999999999999998E-3</v>
      </c>
      <c r="R11">
        <v>0</v>
      </c>
      <c r="S11">
        <v>9.6900000000000007E-3</v>
      </c>
      <c r="T11">
        <v>0</v>
      </c>
      <c r="U11">
        <v>0</v>
      </c>
      <c r="V11">
        <v>0</v>
      </c>
      <c r="W11">
        <v>0</v>
      </c>
      <c r="X11">
        <v>-2.3700000000000001E-3</v>
      </c>
      <c r="Y11">
        <v>0</v>
      </c>
      <c r="Z11">
        <v>0</v>
      </c>
      <c r="AA11">
        <v>0</v>
      </c>
      <c r="AB11">
        <v>0</v>
      </c>
      <c r="AC11">
        <v>0</v>
      </c>
      <c r="AD11">
        <v>-3.8999999999999999E-4</v>
      </c>
      <c r="AE11">
        <v>5.2399999999999999E-3</v>
      </c>
      <c r="AF11">
        <v>0</v>
      </c>
      <c r="AG11">
        <v>0</v>
      </c>
      <c r="AH11">
        <v>-4.0800000000000003E-3</v>
      </c>
      <c r="AI11">
        <v>0</v>
      </c>
    </row>
    <row r="12" spans="1:35" x14ac:dyDescent="0.25">
      <c r="A12" s="1">
        <v>39416</v>
      </c>
      <c r="B12">
        <v>-3.49E-2</v>
      </c>
      <c r="C12">
        <v>-1.7000000000000001E-2</v>
      </c>
      <c r="D12">
        <v>-4.4043417224814418E-2</v>
      </c>
      <c r="E12">
        <v>-4.0699999999999998E-3</v>
      </c>
      <c r="F12">
        <v>1.58E-3</v>
      </c>
      <c r="G12">
        <v>0</v>
      </c>
      <c r="H12">
        <v>0</v>
      </c>
      <c r="I12">
        <v>0</v>
      </c>
      <c r="J12">
        <v>-3.63E-3</v>
      </c>
      <c r="K12">
        <v>0</v>
      </c>
      <c r="L12">
        <v>0</v>
      </c>
      <c r="M12">
        <v>0</v>
      </c>
      <c r="N12">
        <v>-4.2700000000000004E-3</v>
      </c>
      <c r="O12">
        <v>0</v>
      </c>
      <c r="P12">
        <v>0</v>
      </c>
      <c r="Q12">
        <v>-2.9399999999999999E-3</v>
      </c>
      <c r="R12">
        <v>0</v>
      </c>
      <c r="S12">
        <v>3.6999999999999999E-4</v>
      </c>
      <c r="T12">
        <v>0</v>
      </c>
      <c r="U12">
        <v>0</v>
      </c>
      <c r="V12">
        <v>0</v>
      </c>
      <c r="W12">
        <v>0</v>
      </c>
      <c r="X12">
        <v>-1.085E-2</v>
      </c>
      <c r="Y12">
        <v>0</v>
      </c>
      <c r="Z12">
        <v>0</v>
      </c>
      <c r="AA12">
        <v>0</v>
      </c>
      <c r="AB12">
        <v>0</v>
      </c>
      <c r="AC12">
        <v>0</v>
      </c>
      <c r="AD12">
        <v>-8.5699999999999995E-3</v>
      </c>
      <c r="AE12">
        <v>-6.8500000000000002E-3</v>
      </c>
      <c r="AF12">
        <v>0</v>
      </c>
      <c r="AG12">
        <v>0</v>
      </c>
      <c r="AH12">
        <v>4.3899999999999998E-3</v>
      </c>
      <c r="AI12">
        <v>0</v>
      </c>
    </row>
    <row r="13" spans="1:35" x14ac:dyDescent="0.25">
      <c r="A13" s="1">
        <v>39447</v>
      </c>
      <c r="B13">
        <v>1.29E-2</v>
      </c>
      <c r="C13">
        <v>6.3E-3</v>
      </c>
      <c r="D13">
        <v>-8.6285090339686121E-3</v>
      </c>
      <c r="E13">
        <v>8.6999999999999994E-3</v>
      </c>
      <c r="F13">
        <v>2.3E-3</v>
      </c>
      <c r="G13">
        <v>0</v>
      </c>
      <c r="H13">
        <v>0</v>
      </c>
      <c r="I13">
        <v>0</v>
      </c>
      <c r="J13">
        <v>9.2000000000000003E-4</v>
      </c>
      <c r="K13">
        <v>0</v>
      </c>
      <c r="L13">
        <v>0</v>
      </c>
      <c r="M13">
        <v>0</v>
      </c>
      <c r="N13">
        <v>-1.57E-3</v>
      </c>
      <c r="O13">
        <v>0</v>
      </c>
      <c r="P13">
        <v>0</v>
      </c>
      <c r="Q13">
        <v>-4.3200000000000001E-3</v>
      </c>
      <c r="R13">
        <v>0</v>
      </c>
      <c r="S13">
        <v>7.5000000000000002E-4</v>
      </c>
      <c r="T13">
        <v>0</v>
      </c>
      <c r="U13">
        <v>0</v>
      </c>
      <c r="V13">
        <v>0</v>
      </c>
      <c r="W13">
        <v>0</v>
      </c>
      <c r="X13">
        <v>7.8600000000000007E-3</v>
      </c>
      <c r="Y13">
        <v>0</v>
      </c>
      <c r="Z13">
        <v>0</v>
      </c>
      <c r="AA13">
        <v>0</v>
      </c>
      <c r="AB13">
        <v>0</v>
      </c>
      <c r="AC13">
        <v>0</v>
      </c>
      <c r="AD13">
        <v>8.77E-3</v>
      </c>
      <c r="AE13">
        <v>4.0000000000000002E-4</v>
      </c>
      <c r="AF13">
        <v>0</v>
      </c>
      <c r="AG13">
        <v>0</v>
      </c>
      <c r="AH13">
        <v>-1.093E-2</v>
      </c>
      <c r="AI13">
        <v>0</v>
      </c>
    </row>
    <row r="14" spans="1:35" x14ac:dyDescent="0.25">
      <c r="A14" s="10">
        <f>YEAR(A13)</f>
        <v>2007</v>
      </c>
      <c r="B14" s="5" cm="1">
        <f t="array" ref="B14">PRODUCT(1+B2:B13)-1</f>
        <v>0.31487849780394628</v>
      </c>
      <c r="C14" s="5" cm="1">
        <f t="array" ref="C14">PRODUCT(1+C2:C13)-1</f>
        <v>0.19823895433605188</v>
      </c>
      <c r="D14" s="5" cm="1">
        <f t="array" ref="D14">PRODUCT(1+D2:D13)-1</f>
        <v>3.5295766057957145E-2</v>
      </c>
      <c r="E14" s="5" cm="1">
        <f t="array" ref="E14">PRODUCT(1+E2:E13)-1</f>
        <v>9.4885861081628109E-2</v>
      </c>
      <c r="F14" s="5" cm="1">
        <f t="array" ref="F14">PRODUCT(1+F2:F13)-1</f>
        <v>0.10269431913130966</v>
      </c>
      <c r="G14" s="5" cm="1">
        <f t="array" ref="G14">PRODUCT(1+G2:G13)-1</f>
        <v>0</v>
      </c>
      <c r="H14" s="5" cm="1">
        <f t="array" ref="H14">PRODUCT(1+H2:H13)-1</f>
        <v>0</v>
      </c>
      <c r="I14" s="5" cm="1">
        <f t="array" ref="I14">PRODUCT(1+I2:I13)-1</f>
        <v>0</v>
      </c>
      <c r="J14" s="5" cm="1">
        <f t="array" ref="J14">PRODUCT(1+J2:J13)-1</f>
        <v>1.9912146543569431E-2</v>
      </c>
      <c r="K14" s="5" cm="1">
        <f t="array" ref="K14">PRODUCT(1+K2:K13)-1</f>
        <v>0</v>
      </c>
      <c r="L14" s="5" cm="1">
        <f t="array" ref="L14">PRODUCT(1+L2:L13)-1</f>
        <v>0</v>
      </c>
      <c r="M14" s="5" cm="1">
        <f t="array" ref="M14">PRODUCT(1+M2:M13)-1</f>
        <v>0</v>
      </c>
      <c r="N14" s="5" cm="1">
        <f t="array" ref="N14">PRODUCT(1+N2:N13)-1</f>
        <v>-3.1873842007473785E-3</v>
      </c>
      <c r="O14" s="5" cm="1">
        <f t="array" ref="O14">PRODUCT(1+O2:O13)-1</f>
        <v>0</v>
      </c>
      <c r="P14" s="5" cm="1">
        <f t="array" ref="P14">PRODUCT(1+P2:P13)-1</f>
        <v>0</v>
      </c>
      <c r="Q14" s="5" cm="1">
        <f t="array" ref="Q14">PRODUCT(1+Q2:Q13)-1</f>
        <v>-5.8445169681039522E-3</v>
      </c>
      <c r="R14" s="5" cm="1">
        <f t="array" ref="R14">PRODUCT(1+R2:R13)-1</f>
        <v>0</v>
      </c>
      <c r="S14" s="5" cm="1">
        <f t="array" ref="S14">PRODUCT(1+S2:S13)-1</f>
        <v>3.2924613263360936E-2</v>
      </c>
      <c r="T14" s="5" cm="1">
        <f t="array" ref="T14">PRODUCT(1+T2:T13)-1</f>
        <v>0</v>
      </c>
      <c r="U14" s="5" cm="1">
        <f t="array" ref="U14">PRODUCT(1+U2:U13)-1</f>
        <v>0</v>
      </c>
      <c r="V14" s="5" cm="1">
        <f t="array" ref="V14">PRODUCT(1+V2:V13)-1</f>
        <v>0</v>
      </c>
      <c r="W14" s="5" cm="1">
        <f t="array" ref="W14">PRODUCT(1+W2:W13)-1</f>
        <v>0</v>
      </c>
      <c r="X14" s="5" cm="1">
        <f t="array" ref="X14">PRODUCT(1+X2:X13)-1</f>
        <v>3.9154224994162101E-2</v>
      </c>
      <c r="Y14" s="5" cm="1">
        <f t="array" ref="Y14">PRODUCT(1+Y2:Y13)-1</f>
        <v>0</v>
      </c>
      <c r="Z14" s="5" cm="1">
        <f t="array" ref="Z14">PRODUCT(1+Z2:Z13)-1</f>
        <v>0</v>
      </c>
      <c r="AA14" s="5" cm="1">
        <f t="array" ref="AA14">PRODUCT(1+AA2:AA13)-1</f>
        <v>0</v>
      </c>
      <c r="AB14" s="5" cm="1">
        <f t="array" ref="AB14">PRODUCT(1+AB2:AB13)-1</f>
        <v>0</v>
      </c>
      <c r="AC14" s="5" cm="1">
        <f t="array" ref="AC14">PRODUCT(1+AC2:AC13)-1</f>
        <v>0</v>
      </c>
      <c r="AD14" s="5" cm="1">
        <f t="array" ref="AD14">PRODUCT(1+AD2:AD13)-1</f>
        <v>2.0438440438255601E-2</v>
      </c>
      <c r="AE14" s="5" cm="1">
        <f t="array" ref="AE14">PRODUCT(1+AE2:AE13)-1</f>
        <v>-3.7603057451200961E-3</v>
      </c>
      <c r="AF14" s="5" cm="1">
        <f t="array" ref="AF14">PRODUCT(1+AF2:AF13)-1</f>
        <v>0</v>
      </c>
      <c r="AG14" s="5" cm="1">
        <f t="array" ref="AG14">PRODUCT(1+AG2:AG13)-1</f>
        <v>0</v>
      </c>
      <c r="AH14" s="5" cm="1">
        <f t="array" ref="AH14">PRODUCT(1+AH2:AH13)-1</f>
        <v>-6.7487295214111453E-3</v>
      </c>
      <c r="AI14" s="5" cm="1">
        <f t="array" ref="AI14">PRODUCT(1+AI2:AI13)-1</f>
        <v>0</v>
      </c>
    </row>
    <row r="15" spans="1:35" x14ac:dyDescent="0.25">
      <c r="A15" s="1">
        <v>39478</v>
      </c>
      <c r="B15">
        <v>-9.6299999999999997E-2</v>
      </c>
      <c r="C15">
        <v>-5.9900000000000002E-2</v>
      </c>
      <c r="D15">
        <v>-6.116343193593643E-2</v>
      </c>
      <c r="E15">
        <v>-3.1660000000000001E-2</v>
      </c>
      <c r="F15">
        <v>-1.6129999999999999E-2</v>
      </c>
      <c r="G15">
        <v>-4.8900000000000002E-3</v>
      </c>
      <c r="H15">
        <v>0</v>
      </c>
      <c r="I15">
        <v>0</v>
      </c>
      <c r="J15">
        <v>-1.67E-3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9.4599999999999997E-3</v>
      </c>
      <c r="R15">
        <v>0</v>
      </c>
      <c r="S15">
        <v>-9.0500000000000008E-3</v>
      </c>
      <c r="T15">
        <v>0</v>
      </c>
      <c r="U15">
        <v>0</v>
      </c>
      <c r="V15">
        <v>0</v>
      </c>
      <c r="W15">
        <v>0</v>
      </c>
      <c r="X15">
        <v>-2.7720000000000002E-2</v>
      </c>
      <c r="Y15">
        <v>0</v>
      </c>
      <c r="Z15">
        <v>0</v>
      </c>
      <c r="AA15">
        <v>0</v>
      </c>
      <c r="AB15">
        <v>0</v>
      </c>
      <c r="AC15">
        <v>0</v>
      </c>
      <c r="AD15">
        <v>-6.4200000000000004E-3</v>
      </c>
      <c r="AE15">
        <v>-7.1300000000000001E-3</v>
      </c>
      <c r="AF15">
        <v>0</v>
      </c>
      <c r="AG15">
        <v>0</v>
      </c>
      <c r="AH15">
        <v>-1.06E-3</v>
      </c>
      <c r="AI15">
        <v>0</v>
      </c>
    </row>
    <row r="16" spans="1:35" x14ac:dyDescent="0.25">
      <c r="A16" s="1">
        <v>39507</v>
      </c>
      <c r="B16">
        <v>-6.2300000000000001E-2</v>
      </c>
      <c r="C16">
        <v>-3.6999999999999998E-2</v>
      </c>
      <c r="D16">
        <v>-3.4761192772624461E-2</v>
      </c>
      <c r="E16">
        <v>-7.6400000000000001E-3</v>
      </c>
      <c r="F16">
        <v>-1.703E-2</v>
      </c>
      <c r="G16" s="2">
        <v>1.0000000000000001E-5</v>
      </c>
      <c r="H16">
        <v>0</v>
      </c>
      <c r="I16">
        <v>0</v>
      </c>
      <c r="J16">
        <v>1.89E-3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-1.4239999999999999E-2</v>
      </c>
      <c r="R16">
        <v>0</v>
      </c>
      <c r="S16">
        <v>1.6900000000000001E-3</v>
      </c>
      <c r="T16">
        <v>0</v>
      </c>
      <c r="U16">
        <v>0</v>
      </c>
      <c r="V16">
        <v>0</v>
      </c>
      <c r="W16">
        <v>0</v>
      </c>
      <c r="X16">
        <v>-1.3010000000000001E-2</v>
      </c>
      <c r="Y16">
        <v>0</v>
      </c>
      <c r="Z16">
        <v>0</v>
      </c>
      <c r="AA16">
        <v>0</v>
      </c>
      <c r="AB16">
        <v>0</v>
      </c>
      <c r="AC16">
        <v>0</v>
      </c>
      <c r="AD16">
        <v>-9.5099999999999994E-3</v>
      </c>
      <c r="AE16">
        <v>5.3E-3</v>
      </c>
      <c r="AF16">
        <v>0</v>
      </c>
      <c r="AG16">
        <v>0</v>
      </c>
      <c r="AH16">
        <v>-9.7900000000000001E-3</v>
      </c>
      <c r="AI16">
        <v>0</v>
      </c>
    </row>
    <row r="17" spans="1:35" x14ac:dyDescent="0.25">
      <c r="A17" s="1">
        <v>39538</v>
      </c>
      <c r="B17">
        <v>3.4799999999999998E-2</v>
      </c>
      <c r="C17">
        <v>1.7500000000000002E-2</v>
      </c>
      <c r="D17">
        <v>-5.9596236145298409E-3</v>
      </c>
      <c r="E17">
        <v>1.478E-2</v>
      </c>
      <c r="F17">
        <v>1.059E-2</v>
      </c>
      <c r="G17">
        <v>-1.017E-2</v>
      </c>
      <c r="H17">
        <v>0</v>
      </c>
      <c r="I17">
        <v>0</v>
      </c>
      <c r="J17">
        <v>8.2400000000000008E-3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5.6600000000000001E-3</v>
      </c>
      <c r="R17">
        <v>0</v>
      </c>
      <c r="S17">
        <v>3.0699999999999998E-3</v>
      </c>
      <c r="T17">
        <v>0</v>
      </c>
      <c r="U17">
        <v>0</v>
      </c>
      <c r="V17">
        <v>0</v>
      </c>
      <c r="W17">
        <v>0</v>
      </c>
      <c r="X17">
        <v>-7.4799999999999997E-3</v>
      </c>
      <c r="Y17">
        <v>0</v>
      </c>
      <c r="Z17">
        <v>0</v>
      </c>
      <c r="AA17">
        <v>0</v>
      </c>
      <c r="AB17">
        <v>0</v>
      </c>
      <c r="AC17">
        <v>0</v>
      </c>
      <c r="AD17">
        <v>9.9600000000000001E-3</v>
      </c>
      <c r="AE17">
        <v>5.4400000000000004E-3</v>
      </c>
      <c r="AF17">
        <v>0</v>
      </c>
      <c r="AG17">
        <v>0</v>
      </c>
      <c r="AH17">
        <v>-5.28E-3</v>
      </c>
      <c r="AI17">
        <v>0</v>
      </c>
    </row>
    <row r="18" spans="1:35" x14ac:dyDescent="0.25">
      <c r="A18" s="1">
        <v>39568</v>
      </c>
      <c r="B18">
        <v>8.8400000000000006E-2</v>
      </c>
      <c r="C18">
        <v>3.27E-2</v>
      </c>
      <c r="D18">
        <v>4.7546697913198877E-2</v>
      </c>
      <c r="E18">
        <v>2.1219999999999999E-2</v>
      </c>
      <c r="F18">
        <v>1.0279999999999999E-2</v>
      </c>
      <c r="G18">
        <v>1.4109999999999999E-2</v>
      </c>
      <c r="H18">
        <v>0</v>
      </c>
      <c r="I18">
        <v>0</v>
      </c>
      <c r="J18">
        <v>5.0499999999999998E-3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1.183E-2</v>
      </c>
      <c r="R18">
        <v>0</v>
      </c>
      <c r="S18">
        <v>6.8300000000000001E-3</v>
      </c>
      <c r="T18">
        <v>0</v>
      </c>
      <c r="U18">
        <v>0</v>
      </c>
      <c r="V18">
        <v>0</v>
      </c>
      <c r="W18">
        <v>0</v>
      </c>
      <c r="X18">
        <v>3.8400000000000001E-3</v>
      </c>
      <c r="Y18">
        <v>0</v>
      </c>
      <c r="Z18">
        <v>0</v>
      </c>
      <c r="AA18">
        <v>0</v>
      </c>
      <c r="AB18">
        <v>0</v>
      </c>
      <c r="AC18">
        <v>0</v>
      </c>
      <c r="AD18">
        <v>2.1099999999999999E-3</v>
      </c>
      <c r="AE18">
        <v>9.4500000000000001E-3</v>
      </c>
      <c r="AF18">
        <v>0</v>
      </c>
      <c r="AG18">
        <v>0</v>
      </c>
      <c r="AH18">
        <v>3.64E-3</v>
      </c>
      <c r="AI18">
        <v>0</v>
      </c>
    </row>
    <row r="19" spans="1:35" x14ac:dyDescent="0.25">
      <c r="A19" s="1">
        <v>39598</v>
      </c>
      <c r="B19">
        <v>3.8699999999999998E-2</v>
      </c>
      <c r="C19">
        <v>2.2200000000000001E-2</v>
      </c>
      <c r="D19">
        <v>1.0674181657577053E-2</v>
      </c>
      <c r="E19">
        <v>8.5100000000000002E-3</v>
      </c>
      <c r="F19">
        <v>3.8E-3</v>
      </c>
      <c r="G19">
        <v>-1.99E-3</v>
      </c>
      <c r="H19">
        <v>0</v>
      </c>
      <c r="I19">
        <v>0</v>
      </c>
      <c r="J19">
        <v>9.3000000000000005E-4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-9.7599999999999996E-3</v>
      </c>
      <c r="R19">
        <v>0</v>
      </c>
      <c r="S19">
        <v>-4.4000000000000002E-4</v>
      </c>
      <c r="T19">
        <v>0</v>
      </c>
      <c r="U19">
        <v>0</v>
      </c>
      <c r="V19">
        <v>0</v>
      </c>
      <c r="W19">
        <v>0</v>
      </c>
      <c r="X19">
        <v>2.019E-2</v>
      </c>
      <c r="Y19">
        <v>0</v>
      </c>
      <c r="Z19">
        <v>0</v>
      </c>
      <c r="AA19">
        <v>0</v>
      </c>
      <c r="AB19">
        <v>0</v>
      </c>
      <c r="AC19">
        <v>0</v>
      </c>
      <c r="AD19">
        <v>3.0699999999999998E-3</v>
      </c>
      <c r="AE19">
        <v>1.8699999999999999E-3</v>
      </c>
      <c r="AF19">
        <v>0</v>
      </c>
      <c r="AG19">
        <v>0</v>
      </c>
      <c r="AH19">
        <v>1.2500000000000001E-2</v>
      </c>
      <c r="AI19">
        <v>0</v>
      </c>
    </row>
    <row r="20" spans="1:35" x14ac:dyDescent="0.25">
      <c r="A20" s="1">
        <v>39629</v>
      </c>
      <c r="B20">
        <v>-0.14430000000000001</v>
      </c>
      <c r="C20">
        <v>-0.108</v>
      </c>
      <c r="D20">
        <v>-8.5962384902803612E-2</v>
      </c>
      <c r="E20">
        <v>-1.129E-2</v>
      </c>
      <c r="F20">
        <v>-1.0160000000000001E-2</v>
      </c>
      <c r="G20">
        <v>-2.06E-2</v>
      </c>
      <c r="H20">
        <v>0</v>
      </c>
      <c r="I20">
        <v>0</v>
      </c>
      <c r="J20">
        <v>-1.0670000000000001E-2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-2.0209999999999999E-2</v>
      </c>
      <c r="R20">
        <v>0</v>
      </c>
      <c r="S20">
        <v>-4.5900000000000003E-3</v>
      </c>
      <c r="T20">
        <v>0</v>
      </c>
      <c r="U20">
        <v>0</v>
      </c>
      <c r="V20">
        <v>0</v>
      </c>
      <c r="W20">
        <v>0</v>
      </c>
      <c r="X20">
        <v>-2.4209999999999999E-2</v>
      </c>
      <c r="Y20">
        <v>0</v>
      </c>
      <c r="Z20">
        <v>0</v>
      </c>
      <c r="AA20">
        <v>0</v>
      </c>
      <c r="AB20">
        <v>0</v>
      </c>
      <c r="AC20">
        <v>0</v>
      </c>
      <c r="AD20">
        <v>-1.5559999999999999E-2</v>
      </c>
      <c r="AE20">
        <v>-4.7200000000000002E-3</v>
      </c>
      <c r="AF20">
        <v>0</v>
      </c>
      <c r="AG20">
        <v>0</v>
      </c>
      <c r="AH20">
        <v>-2.2290000000000001E-2</v>
      </c>
      <c r="AI20">
        <v>0</v>
      </c>
    </row>
    <row r="21" spans="1:35" x14ac:dyDescent="0.25">
      <c r="A21" s="1">
        <v>39660</v>
      </c>
      <c r="B21">
        <v>-3.4200000000000001E-2</v>
      </c>
      <c r="C21">
        <v>8.3999999999999995E-3</v>
      </c>
      <c r="D21">
        <v>-9.8593710937500134E-3</v>
      </c>
      <c r="E21">
        <v>-5.0699999999999999E-3</v>
      </c>
      <c r="F21">
        <v>4.1000000000000003E-3</v>
      </c>
      <c r="G21">
        <v>-7.0099999999999997E-3</v>
      </c>
      <c r="H21">
        <v>0</v>
      </c>
      <c r="I21">
        <v>0</v>
      </c>
      <c r="J21">
        <v>-5.2599999999999999E-3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1.9529999999999999E-2</v>
      </c>
      <c r="R21">
        <v>0</v>
      </c>
      <c r="S21">
        <v>6.3499999999999997E-3</v>
      </c>
      <c r="T21">
        <v>0</v>
      </c>
      <c r="U21">
        <v>0</v>
      </c>
      <c r="V21">
        <v>0</v>
      </c>
      <c r="W21">
        <v>0</v>
      </c>
      <c r="X21">
        <v>-3.8890000000000001E-2</v>
      </c>
      <c r="Y21">
        <v>0</v>
      </c>
      <c r="Z21">
        <v>0</v>
      </c>
      <c r="AA21">
        <v>0</v>
      </c>
      <c r="AB21">
        <v>0</v>
      </c>
      <c r="AC21">
        <v>0</v>
      </c>
      <c r="AD21">
        <v>-7.3600000000000002E-3</v>
      </c>
      <c r="AE21">
        <v>-8.0000000000000002E-3</v>
      </c>
      <c r="AF21">
        <v>0</v>
      </c>
      <c r="AG21">
        <v>0</v>
      </c>
      <c r="AH21">
        <v>7.3800000000000003E-3</v>
      </c>
      <c r="AI21">
        <v>0</v>
      </c>
    </row>
    <row r="22" spans="1:35" x14ac:dyDescent="0.25">
      <c r="A22" s="1">
        <v>39689</v>
      </c>
      <c r="B22">
        <v>5.5100000000000003E-2</v>
      </c>
      <c r="C22">
        <v>3.56E-2</v>
      </c>
      <c r="D22">
        <v>1.2190464532380041E-2</v>
      </c>
      <c r="E22">
        <v>6.6600000000000001E-3</v>
      </c>
      <c r="F22">
        <v>5.8599999999999998E-3</v>
      </c>
      <c r="G22">
        <v>7.9399999999999991E-3</v>
      </c>
      <c r="H22">
        <v>0</v>
      </c>
      <c r="I22">
        <v>0</v>
      </c>
      <c r="J22">
        <v>1.74E-3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-5.2700000000000004E-3</v>
      </c>
      <c r="R22">
        <v>0</v>
      </c>
      <c r="S22">
        <v>4.3200000000000001E-3</v>
      </c>
      <c r="T22">
        <v>0</v>
      </c>
      <c r="U22">
        <v>0</v>
      </c>
      <c r="V22">
        <v>0</v>
      </c>
      <c r="W22">
        <v>0</v>
      </c>
      <c r="X22">
        <v>1.0489999999999999E-2</v>
      </c>
      <c r="Y22">
        <v>0</v>
      </c>
      <c r="Z22">
        <v>0</v>
      </c>
      <c r="AA22">
        <v>0</v>
      </c>
      <c r="AB22">
        <v>0</v>
      </c>
      <c r="AC22">
        <v>0</v>
      </c>
      <c r="AD22">
        <v>3.8300000000000001E-3</v>
      </c>
      <c r="AE22">
        <v>2.2100000000000002E-3</v>
      </c>
      <c r="AF22">
        <v>0</v>
      </c>
      <c r="AG22">
        <v>0</v>
      </c>
      <c r="AH22">
        <v>1.7350000000000001E-2</v>
      </c>
      <c r="AI22">
        <v>0</v>
      </c>
    </row>
    <row r="23" spans="1:35" x14ac:dyDescent="0.25">
      <c r="A23" s="1">
        <v>39721</v>
      </c>
      <c r="B23">
        <v>-8.2299999999999998E-2</v>
      </c>
      <c r="C23">
        <v>-4.7100000000000003E-2</v>
      </c>
      <c r="D23">
        <v>-9.0791433779084607E-2</v>
      </c>
      <c r="E23">
        <v>-3.2960000000000003E-2</v>
      </c>
      <c r="F23">
        <v>-9.9600000000000001E-3</v>
      </c>
      <c r="G23">
        <v>-1.252E-2</v>
      </c>
      <c r="H23">
        <v>0</v>
      </c>
      <c r="I23">
        <v>0</v>
      </c>
      <c r="J23">
        <v>-1.5740000000000001E-2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2.1329999999999998E-2</v>
      </c>
      <c r="R23">
        <v>0</v>
      </c>
      <c r="S23">
        <v>-4.8000000000000001E-4</v>
      </c>
      <c r="T23">
        <v>0</v>
      </c>
      <c r="U23">
        <v>0</v>
      </c>
      <c r="V23">
        <v>0</v>
      </c>
      <c r="W23">
        <v>0</v>
      </c>
      <c r="X23">
        <v>-1.5270000000000001E-2</v>
      </c>
      <c r="Y23">
        <v>0</v>
      </c>
      <c r="Z23">
        <v>0</v>
      </c>
      <c r="AA23">
        <v>0</v>
      </c>
      <c r="AB23">
        <v>0</v>
      </c>
      <c r="AC23">
        <v>0</v>
      </c>
      <c r="AD23">
        <v>-1.272E-2</v>
      </c>
      <c r="AE23">
        <v>-3.5000000000000001E-3</v>
      </c>
      <c r="AF23">
        <v>0</v>
      </c>
      <c r="AG23">
        <v>0</v>
      </c>
      <c r="AH23">
        <v>-4.4999999999999999E-4</v>
      </c>
      <c r="AI23">
        <v>0</v>
      </c>
    </row>
    <row r="24" spans="1:35" x14ac:dyDescent="0.25">
      <c r="A24" s="1">
        <v>39752</v>
      </c>
      <c r="B24">
        <v>-0.14729999999999999</v>
      </c>
      <c r="C24">
        <v>-0.15939999999999999</v>
      </c>
      <c r="D24">
        <v>-0.1694245237674199</v>
      </c>
      <c r="E24">
        <v>-5.3400000000000001E-3</v>
      </c>
      <c r="F24">
        <v>-2.1329999999999998E-2</v>
      </c>
      <c r="G24">
        <v>-8.6E-3</v>
      </c>
      <c r="H24">
        <v>0</v>
      </c>
      <c r="I24">
        <v>0</v>
      </c>
      <c r="J24">
        <v>-3.5200000000000002E-2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-1.086E-2</v>
      </c>
      <c r="R24">
        <v>0</v>
      </c>
      <c r="S24">
        <v>-6.11E-3</v>
      </c>
      <c r="T24">
        <v>0</v>
      </c>
      <c r="U24">
        <v>0</v>
      </c>
      <c r="V24">
        <v>0</v>
      </c>
      <c r="W24">
        <v>0</v>
      </c>
      <c r="X24">
        <v>-1.821E-2</v>
      </c>
      <c r="Y24">
        <v>0</v>
      </c>
      <c r="Z24">
        <v>0</v>
      </c>
      <c r="AA24">
        <v>0</v>
      </c>
      <c r="AB24">
        <v>0</v>
      </c>
      <c r="AC24">
        <v>0</v>
      </c>
      <c r="AD24">
        <v>-2.6900000000000001E-3</v>
      </c>
      <c r="AE24">
        <v>-1.1849999999999999E-2</v>
      </c>
      <c r="AF24">
        <v>0</v>
      </c>
      <c r="AG24">
        <v>0</v>
      </c>
      <c r="AH24">
        <v>-2.7140000000000001E-2</v>
      </c>
      <c r="AI24">
        <v>0</v>
      </c>
    </row>
    <row r="25" spans="1:35" x14ac:dyDescent="0.25">
      <c r="A25" s="1">
        <v>39780</v>
      </c>
      <c r="B25">
        <v>-8.09E-2</v>
      </c>
      <c r="C25">
        <v>-5.7700000000000001E-2</v>
      </c>
      <c r="D25">
        <v>-7.4849042580645175E-2</v>
      </c>
      <c r="E25">
        <v>-1.387E-2</v>
      </c>
      <c r="F25">
        <v>-2.5399999999999999E-2</v>
      </c>
      <c r="G25">
        <v>-1.7909999999999999E-2</v>
      </c>
      <c r="H25">
        <v>0</v>
      </c>
      <c r="I25">
        <v>0</v>
      </c>
      <c r="J25">
        <v>7.3000000000000001E-3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-2.325E-2</v>
      </c>
      <c r="R25">
        <v>0</v>
      </c>
      <c r="S25">
        <v>2.2799999999999999E-3</v>
      </c>
      <c r="T25">
        <v>0</v>
      </c>
      <c r="U25">
        <v>0</v>
      </c>
      <c r="V25">
        <v>0</v>
      </c>
      <c r="W25">
        <v>0</v>
      </c>
      <c r="X25">
        <v>-1.473E-2</v>
      </c>
      <c r="Y25">
        <v>0</v>
      </c>
      <c r="Z25">
        <v>0</v>
      </c>
      <c r="AA25">
        <v>0</v>
      </c>
      <c r="AB25">
        <v>0</v>
      </c>
      <c r="AC25">
        <v>0</v>
      </c>
      <c r="AD25">
        <v>6.6899999999999998E-3</v>
      </c>
      <c r="AE25">
        <v>-1.3440000000000001E-2</v>
      </c>
      <c r="AF25">
        <v>0</v>
      </c>
      <c r="AG25">
        <v>0</v>
      </c>
      <c r="AH25">
        <v>1.14E-2</v>
      </c>
      <c r="AI25">
        <v>0</v>
      </c>
    </row>
    <row r="26" spans="1:35" x14ac:dyDescent="0.25">
      <c r="A26" s="1">
        <v>39813</v>
      </c>
      <c r="B26">
        <v>6.0999999999999999E-2</v>
      </c>
      <c r="C26">
        <v>3.0599999999999999E-2</v>
      </c>
      <c r="D26">
        <v>7.8215768970539834E-3</v>
      </c>
      <c r="E26">
        <v>-7.9000000000000008E-3</v>
      </c>
      <c r="F26">
        <v>2.009E-2</v>
      </c>
      <c r="G26" s="2">
        <v>9.0000000000000006E-5</v>
      </c>
      <c r="H26">
        <v>0</v>
      </c>
      <c r="I26">
        <v>0</v>
      </c>
      <c r="J26">
        <v>8.9800000000000001E-3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-4.0999999999999999E-4</v>
      </c>
      <c r="R26">
        <v>0</v>
      </c>
      <c r="S26">
        <v>5.8599999999999998E-3</v>
      </c>
      <c r="T26">
        <v>0</v>
      </c>
      <c r="U26">
        <v>0</v>
      </c>
      <c r="V26">
        <v>0</v>
      </c>
      <c r="W26">
        <v>0</v>
      </c>
      <c r="X26">
        <v>8.0300000000000007E-3</v>
      </c>
      <c r="Y26">
        <v>0</v>
      </c>
      <c r="Z26">
        <v>0</v>
      </c>
      <c r="AA26">
        <v>0</v>
      </c>
      <c r="AB26">
        <v>0</v>
      </c>
      <c r="AC26">
        <v>0</v>
      </c>
      <c r="AD26">
        <v>-2.1000000000000001E-4</v>
      </c>
      <c r="AE26">
        <v>1.0489999999999999E-2</v>
      </c>
      <c r="AF26">
        <v>0</v>
      </c>
      <c r="AG26">
        <v>0</v>
      </c>
      <c r="AH26">
        <v>1.601E-2</v>
      </c>
      <c r="AI26">
        <v>0</v>
      </c>
    </row>
    <row r="27" spans="1:35" x14ac:dyDescent="0.25">
      <c r="A27" s="10">
        <f>YEAR(A26)</f>
        <v>2008</v>
      </c>
      <c r="B27" s="5" cm="1">
        <f t="array" ref="B27">PRODUCT(1+B15:B26)-1</f>
        <v>-0.34036941570892365</v>
      </c>
      <c r="C27" s="5" cm="1">
        <f t="array" ref="C27">PRODUCT(1+C15:C26)-1</f>
        <v>-0.29538710584052785</v>
      </c>
      <c r="D27" s="5" cm="1">
        <f t="array" ref="D27">PRODUCT(1+D15:D26)-1</f>
        <v>-0.38485793046178673</v>
      </c>
      <c r="E27" s="5" cm="1">
        <f t="array" ref="E27">PRODUCT(1+E15:E26)-1</f>
        <v>-6.4117084002053293E-2</v>
      </c>
      <c r="F27" s="5" cm="1">
        <f t="array" ref="F27">PRODUCT(1+F15:F26)-1</f>
        <v>-4.5501292674012705E-2</v>
      </c>
      <c r="G27" s="5" cm="1">
        <f t="array" ref="G27">PRODUCT(1+G15:G26)-1</f>
        <v>-6.0356193143049963E-2</v>
      </c>
      <c r="H27" s="5" cm="1">
        <f t="array" ref="H27">PRODUCT(1+H15:H26)-1</f>
        <v>0</v>
      </c>
      <c r="I27" s="5" cm="1">
        <f t="array" ref="I27">PRODUCT(1+I15:I26)-1</f>
        <v>0</v>
      </c>
      <c r="J27" s="5" cm="1">
        <f t="array" ref="J27">PRODUCT(1+J15:J26)-1</f>
        <v>-3.4741221918489829E-2</v>
      </c>
      <c r="K27" s="5" cm="1">
        <f t="array" ref="K27">PRODUCT(1+K15:K26)-1</f>
        <v>0</v>
      </c>
      <c r="L27" s="5" cm="1">
        <f t="array" ref="L27">PRODUCT(1+L15:L26)-1</f>
        <v>0</v>
      </c>
      <c r="M27" s="5" cm="1">
        <f t="array" ref="M27">PRODUCT(1+M15:M26)-1</f>
        <v>0</v>
      </c>
      <c r="N27" s="5" cm="1">
        <f t="array" ref="N27">PRODUCT(1+N15:N26)-1</f>
        <v>0</v>
      </c>
      <c r="O27" s="5" cm="1">
        <f t="array" ref="O27">PRODUCT(1+O15:O26)-1</f>
        <v>0</v>
      </c>
      <c r="P27" s="5" cm="1">
        <f t="array" ref="P27">PRODUCT(1+P15:P26)-1</f>
        <v>0</v>
      </c>
      <c r="Q27" s="5" cm="1">
        <f t="array" ref="Q27">PRODUCT(1+Q15:Q26)-1</f>
        <v>-1.7286541087026097E-2</v>
      </c>
      <c r="R27" s="5" cm="1">
        <f t="array" ref="R27">PRODUCT(1+R15:R26)-1</f>
        <v>0</v>
      </c>
      <c r="S27" s="5" cm="1">
        <f t="array" ref="S27">PRODUCT(1+S15:S26)-1</f>
        <v>9.6268953360665321E-3</v>
      </c>
      <c r="T27" s="5" cm="1">
        <f t="array" ref="T27">PRODUCT(1+T15:T26)-1</f>
        <v>0</v>
      </c>
      <c r="U27" s="5" cm="1">
        <f t="array" ref="U27">PRODUCT(1+U15:U26)-1</f>
        <v>0</v>
      </c>
      <c r="V27" s="5" cm="1">
        <f t="array" ref="V27">PRODUCT(1+V15:V26)-1</f>
        <v>0</v>
      </c>
      <c r="W27" s="5" cm="1">
        <f t="array" ref="W27">PRODUCT(1+W15:W26)-1</f>
        <v>0</v>
      </c>
      <c r="X27" s="5" cm="1">
        <f t="array" ref="X27">PRODUCT(1+X15:X26)-1</f>
        <v>-0.11240489189301361</v>
      </c>
      <c r="Y27" s="5" cm="1">
        <f t="array" ref="Y27">PRODUCT(1+Y15:Y26)-1</f>
        <v>0</v>
      </c>
      <c r="Z27" s="5" cm="1">
        <f t="array" ref="Z27">PRODUCT(1+Z15:Z26)-1</f>
        <v>0</v>
      </c>
      <c r="AA27" s="5" cm="1">
        <f t="array" ref="AA27">PRODUCT(1+AA15:AA26)-1</f>
        <v>0</v>
      </c>
      <c r="AB27" s="5" cm="1">
        <f t="array" ref="AB27">PRODUCT(1+AB15:AB26)-1</f>
        <v>0</v>
      </c>
      <c r="AC27" s="5" cm="1">
        <f t="array" ref="AC27">PRODUCT(1+AC15:AC26)-1</f>
        <v>0</v>
      </c>
      <c r="AD27" s="5" cm="1">
        <f t="array" ref="AD27">PRODUCT(1+AD15:AD26)-1</f>
        <v>-2.8774676015846823E-2</v>
      </c>
      <c r="AE27" s="5" cm="1">
        <f t="array" ref="AE27">PRODUCT(1+AE15:AE26)-1</f>
        <v>-1.4147829743675788E-2</v>
      </c>
      <c r="AF27" s="5" cm="1">
        <f t="array" ref="AF27">PRODUCT(1+AF15:AF26)-1</f>
        <v>0</v>
      </c>
      <c r="AG27" s="5" cm="1">
        <f t="array" ref="AG27">PRODUCT(1+AG15:AG26)-1</f>
        <v>0</v>
      </c>
      <c r="AH27" s="5" cm="1">
        <f t="array" ref="AH27">PRODUCT(1+AH15:AH26)-1</f>
        <v>1.1292004025993396E-3</v>
      </c>
      <c r="AI27" s="5" cm="1">
        <f t="array" ref="AI27">PRODUCT(1+AI15:AI26)-1</f>
        <v>0</v>
      </c>
    </row>
    <row r="28" spans="1:35" x14ac:dyDescent="0.25">
      <c r="A28" s="1">
        <v>39843</v>
      </c>
      <c r="B28">
        <v>-8.6599999999999996E-2</v>
      </c>
      <c r="C28">
        <v>-0.1037</v>
      </c>
      <c r="D28">
        <v>-8.5657342928314395E-2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-4.5199999999999997E-3</v>
      </c>
      <c r="L28">
        <v>0</v>
      </c>
      <c r="M28">
        <v>-1.8400000000000001E-3</v>
      </c>
      <c r="N28">
        <v>0</v>
      </c>
      <c r="O28">
        <v>0</v>
      </c>
      <c r="P28">
        <v>-3.5799999999999998E-3</v>
      </c>
      <c r="Q28">
        <v>0</v>
      </c>
      <c r="R28">
        <v>-5.6299999999999996E-3</v>
      </c>
      <c r="S28">
        <v>0</v>
      </c>
      <c r="T28">
        <v>-6.5199999999999998E-3</v>
      </c>
      <c r="U28">
        <v>0</v>
      </c>
      <c r="V28">
        <v>0</v>
      </c>
      <c r="W28">
        <v>0</v>
      </c>
      <c r="X28">
        <v>0</v>
      </c>
      <c r="Y28">
        <v>0</v>
      </c>
      <c r="Z28">
        <v>-1.7670000000000002E-2</v>
      </c>
      <c r="AA28">
        <v>-1.119E-2</v>
      </c>
      <c r="AB28">
        <v>-8.4600000000000005E-3</v>
      </c>
      <c r="AC28">
        <v>0</v>
      </c>
      <c r="AD28">
        <v>0</v>
      </c>
      <c r="AE28">
        <v>0</v>
      </c>
      <c r="AF28">
        <v>0</v>
      </c>
      <c r="AG28">
        <v>-2.2970000000000001E-2</v>
      </c>
      <c r="AH28">
        <v>0</v>
      </c>
      <c r="AI28">
        <v>-4.1999999999999997E-3</v>
      </c>
    </row>
    <row r="29" spans="1:35" x14ac:dyDescent="0.25">
      <c r="A29" s="1">
        <v>39871</v>
      </c>
      <c r="B29">
        <v>-9.9000000000000005E-2</v>
      </c>
      <c r="C29">
        <v>-0.1217</v>
      </c>
      <c r="D29">
        <v>-0.10993119757149228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-7.4700000000000001E-3</v>
      </c>
      <c r="L29">
        <v>0</v>
      </c>
      <c r="M29">
        <v>-1.2970000000000001E-2</v>
      </c>
      <c r="N29">
        <v>0</v>
      </c>
      <c r="O29">
        <v>0</v>
      </c>
      <c r="P29">
        <v>-1.2529999999999999E-2</v>
      </c>
      <c r="Q29">
        <v>0</v>
      </c>
      <c r="R29">
        <v>-4.3800000000000002E-3</v>
      </c>
      <c r="S29">
        <v>0</v>
      </c>
      <c r="T29">
        <v>-1.4540000000000001E-2</v>
      </c>
      <c r="U29">
        <v>0</v>
      </c>
      <c r="V29">
        <v>0</v>
      </c>
      <c r="W29">
        <v>0</v>
      </c>
      <c r="X29">
        <v>0</v>
      </c>
      <c r="Y29">
        <v>0</v>
      </c>
      <c r="Z29">
        <v>-1.337E-2</v>
      </c>
      <c r="AA29">
        <v>-1.1610000000000001E-2</v>
      </c>
      <c r="AB29">
        <v>-9.3900000000000008E-3</v>
      </c>
      <c r="AC29">
        <v>0</v>
      </c>
      <c r="AD29">
        <v>0</v>
      </c>
      <c r="AE29">
        <v>0</v>
      </c>
      <c r="AF29">
        <v>0</v>
      </c>
      <c r="AG29">
        <v>-2.0200000000000001E-3</v>
      </c>
      <c r="AH29">
        <v>0</v>
      </c>
      <c r="AI29">
        <v>-1.0699999999999999E-2</v>
      </c>
    </row>
    <row r="30" spans="1:35" x14ac:dyDescent="0.25">
      <c r="A30" s="1">
        <v>39903</v>
      </c>
      <c r="B30">
        <v>5.3100000000000001E-2</v>
      </c>
      <c r="C30">
        <v>0.1244</v>
      </c>
      <c r="D30">
        <v>8.540446162249471E-2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-1.99E-3</v>
      </c>
      <c r="L30">
        <v>0</v>
      </c>
      <c r="M30">
        <v>2.6800000000000001E-3</v>
      </c>
      <c r="N30">
        <v>0</v>
      </c>
      <c r="O30">
        <v>0</v>
      </c>
      <c r="P30">
        <v>5.1999999999999998E-3</v>
      </c>
      <c r="Q30">
        <v>0</v>
      </c>
      <c r="R30">
        <v>8.5900000000000004E-3</v>
      </c>
      <c r="S30">
        <v>0</v>
      </c>
      <c r="T30">
        <v>9.3699999999999999E-3</v>
      </c>
      <c r="U30">
        <v>0</v>
      </c>
      <c r="V30">
        <v>0</v>
      </c>
      <c r="W30">
        <v>0</v>
      </c>
      <c r="X30">
        <v>0</v>
      </c>
      <c r="Y30">
        <v>0</v>
      </c>
      <c r="Z30">
        <v>1.064E-2</v>
      </c>
      <c r="AA30">
        <v>-2.2399999999999998E-3</v>
      </c>
      <c r="AB30">
        <v>1.0200000000000001E-3</v>
      </c>
      <c r="AC30">
        <v>0</v>
      </c>
      <c r="AD30">
        <v>0</v>
      </c>
      <c r="AE30">
        <v>0</v>
      </c>
      <c r="AF30">
        <v>0</v>
      </c>
      <c r="AG30">
        <v>1.9519999999999999E-2</v>
      </c>
      <c r="AH30">
        <v>0</v>
      </c>
      <c r="AI30">
        <v>2.9E-4</v>
      </c>
    </row>
    <row r="31" spans="1:35" x14ac:dyDescent="0.25">
      <c r="A31" s="1">
        <v>39933</v>
      </c>
      <c r="B31">
        <v>1.54E-2</v>
      </c>
      <c r="C31">
        <v>0.1106</v>
      </c>
      <c r="D31">
        <v>9.3925079862164695E-2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7.7999999999999999E-4</v>
      </c>
      <c r="L31">
        <v>0</v>
      </c>
      <c r="M31">
        <v>-2.6800000000000001E-3</v>
      </c>
      <c r="N31">
        <v>0</v>
      </c>
      <c r="O31">
        <v>0</v>
      </c>
      <c r="P31">
        <v>-4.6000000000000001E-4</v>
      </c>
      <c r="Q31">
        <v>0</v>
      </c>
      <c r="R31">
        <v>-2.0500000000000002E-3</v>
      </c>
      <c r="S31">
        <v>0</v>
      </c>
      <c r="T31">
        <v>1.585E-2</v>
      </c>
      <c r="U31">
        <v>0</v>
      </c>
      <c r="V31">
        <v>0</v>
      </c>
      <c r="W31">
        <v>0</v>
      </c>
      <c r="X31">
        <v>0</v>
      </c>
      <c r="Y31">
        <v>0</v>
      </c>
      <c r="Z31">
        <v>-1.91E-3</v>
      </c>
      <c r="AA31">
        <v>5.9199999999999999E-3</v>
      </c>
      <c r="AB31">
        <v>-4.2500000000000003E-3</v>
      </c>
      <c r="AC31">
        <v>0</v>
      </c>
      <c r="AD31">
        <v>0</v>
      </c>
      <c r="AE31">
        <v>0</v>
      </c>
      <c r="AF31">
        <v>0</v>
      </c>
      <c r="AG31">
        <v>6.3400000000000001E-3</v>
      </c>
      <c r="AH31">
        <v>0</v>
      </c>
      <c r="AI31">
        <v>-2.0999999999999999E-3</v>
      </c>
    </row>
    <row r="32" spans="1:35" x14ac:dyDescent="0.25">
      <c r="A32" s="1">
        <v>39962</v>
      </c>
      <c r="B32">
        <v>6.0699999999999997E-2</v>
      </c>
      <c r="C32">
        <v>6.4500000000000002E-2</v>
      </c>
      <c r="D32">
        <v>5.3081446255385467E-2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1.1780000000000001E-2</v>
      </c>
      <c r="L32">
        <v>0</v>
      </c>
      <c r="M32">
        <v>6.8599999999999998E-3</v>
      </c>
      <c r="N32">
        <v>0</v>
      </c>
      <c r="O32">
        <v>0</v>
      </c>
      <c r="P32">
        <v>6.28E-3</v>
      </c>
      <c r="Q32">
        <v>0</v>
      </c>
      <c r="R32">
        <v>1.4189999999999999E-2</v>
      </c>
      <c r="S32">
        <v>0</v>
      </c>
      <c r="T32" s="2">
        <v>2.0000000000000002E-5</v>
      </c>
      <c r="U32">
        <v>0</v>
      </c>
      <c r="V32">
        <v>0</v>
      </c>
      <c r="W32">
        <v>0</v>
      </c>
      <c r="X32">
        <v>0</v>
      </c>
      <c r="Y32">
        <v>0</v>
      </c>
      <c r="Z32">
        <v>1.49E-2</v>
      </c>
      <c r="AA32">
        <v>5.0600000000000003E-3</v>
      </c>
      <c r="AB32">
        <v>-1.6299999999999999E-3</v>
      </c>
      <c r="AC32">
        <v>0</v>
      </c>
      <c r="AD32">
        <v>0</v>
      </c>
      <c r="AE32">
        <v>0</v>
      </c>
      <c r="AF32">
        <v>0</v>
      </c>
      <c r="AG32">
        <v>-1.4300000000000001E-3</v>
      </c>
      <c r="AH32">
        <v>0</v>
      </c>
      <c r="AI32">
        <v>4.6499999999999996E-3</v>
      </c>
    </row>
    <row r="33" spans="1:35" x14ac:dyDescent="0.25">
      <c r="A33" s="1">
        <v>39994</v>
      </c>
      <c r="B33">
        <v>2.4400000000000002E-2</v>
      </c>
      <c r="C33">
        <v>0</v>
      </c>
      <c r="D33">
        <v>1.9582653030303376E-4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7.26E-3</v>
      </c>
      <c r="L33">
        <v>0</v>
      </c>
      <c r="M33">
        <v>5.13E-3</v>
      </c>
      <c r="N33">
        <v>0</v>
      </c>
      <c r="O33">
        <v>0</v>
      </c>
      <c r="P33">
        <v>2.97E-3</v>
      </c>
      <c r="Q33">
        <v>0</v>
      </c>
      <c r="R33">
        <v>-1.5499999999999999E-3</v>
      </c>
      <c r="S33">
        <v>0</v>
      </c>
      <c r="T33">
        <v>5.2500000000000003E-3</v>
      </c>
      <c r="U33">
        <v>0</v>
      </c>
      <c r="V33">
        <v>0</v>
      </c>
      <c r="W33">
        <v>0</v>
      </c>
      <c r="X33">
        <v>0</v>
      </c>
      <c r="Y33">
        <v>0</v>
      </c>
      <c r="Z33">
        <v>-1.25E-3</v>
      </c>
      <c r="AA33">
        <v>-1.6199999999999999E-3</v>
      </c>
      <c r="AB33">
        <v>9.6799999999999994E-3</v>
      </c>
      <c r="AC33">
        <v>0</v>
      </c>
      <c r="AD33">
        <v>0</v>
      </c>
      <c r="AE33">
        <v>0</v>
      </c>
      <c r="AF33">
        <v>0</v>
      </c>
      <c r="AG33">
        <v>-2.2499999999999998E-3</v>
      </c>
      <c r="AH33">
        <v>0</v>
      </c>
      <c r="AI33">
        <v>8.0999999999999996E-4</v>
      </c>
    </row>
    <row r="34" spans="1:35" x14ac:dyDescent="0.25">
      <c r="A34" s="1">
        <v>40025</v>
      </c>
      <c r="B34">
        <v>5.8599999999999999E-2</v>
      </c>
      <c r="C34">
        <v>8.1299999999999997E-2</v>
      </c>
      <c r="D34">
        <v>7.4141727016716619E-2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3.0300000000000001E-3</v>
      </c>
      <c r="L34">
        <v>0</v>
      </c>
      <c r="M34">
        <v>1.14E-3</v>
      </c>
      <c r="N34">
        <v>0</v>
      </c>
      <c r="O34">
        <v>0</v>
      </c>
      <c r="P34">
        <v>7.1999999999999998E-3</v>
      </c>
      <c r="Q34">
        <v>0</v>
      </c>
      <c r="R34">
        <v>3.8600000000000001E-3</v>
      </c>
      <c r="S34">
        <v>0</v>
      </c>
      <c r="T34">
        <v>1.7340000000000001E-2</v>
      </c>
      <c r="U34">
        <v>0</v>
      </c>
      <c r="V34">
        <v>0</v>
      </c>
      <c r="W34">
        <v>0</v>
      </c>
      <c r="X34">
        <v>0</v>
      </c>
      <c r="Y34">
        <v>0</v>
      </c>
      <c r="Z34">
        <v>6.1999999999999998E-3</v>
      </c>
      <c r="AA34">
        <v>9.4900000000000002E-3</v>
      </c>
      <c r="AB34">
        <v>2.1700000000000001E-3</v>
      </c>
      <c r="AC34">
        <v>0</v>
      </c>
      <c r="AD34">
        <v>0</v>
      </c>
      <c r="AE34">
        <v>0</v>
      </c>
      <c r="AF34">
        <v>0</v>
      </c>
      <c r="AG34">
        <v>7.4799999999999997E-3</v>
      </c>
      <c r="AH34">
        <v>0</v>
      </c>
      <c r="AI34">
        <v>6.8999999999999997E-4</v>
      </c>
    </row>
    <row r="35" spans="1:35" x14ac:dyDescent="0.25">
      <c r="A35" s="1">
        <v>40056</v>
      </c>
      <c r="B35">
        <v>2.3E-3</v>
      </c>
      <c r="C35">
        <v>3.8800000000000001E-2</v>
      </c>
      <c r="D35">
        <v>3.3560189240494864E-2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3.6000000000000002E-4</v>
      </c>
      <c r="L35">
        <v>0</v>
      </c>
      <c r="M35">
        <v>-8.4000000000000003E-4</v>
      </c>
      <c r="N35">
        <v>0</v>
      </c>
      <c r="O35">
        <v>0</v>
      </c>
      <c r="P35" s="2">
        <v>6.9999999999999994E-5</v>
      </c>
      <c r="Q35">
        <v>0</v>
      </c>
      <c r="R35">
        <v>-2.15E-3</v>
      </c>
      <c r="S35">
        <v>0</v>
      </c>
      <c r="T35">
        <v>2.96E-3</v>
      </c>
      <c r="U35">
        <v>0</v>
      </c>
      <c r="V35">
        <v>0</v>
      </c>
      <c r="W35">
        <v>0</v>
      </c>
      <c r="X35">
        <v>0</v>
      </c>
      <c r="Y35">
        <v>0</v>
      </c>
      <c r="Z35">
        <v>5.8399999999999997E-3</v>
      </c>
      <c r="AA35">
        <v>-2.5200000000000001E-3</v>
      </c>
      <c r="AB35">
        <v>-6.4000000000000005E-4</v>
      </c>
      <c r="AC35">
        <v>0</v>
      </c>
      <c r="AD35">
        <v>0</v>
      </c>
      <c r="AE35">
        <v>0</v>
      </c>
      <c r="AF35">
        <v>0</v>
      </c>
      <c r="AG35">
        <v>3.4000000000000002E-4</v>
      </c>
      <c r="AH35">
        <v>0</v>
      </c>
      <c r="AI35">
        <v>-1.16E-3</v>
      </c>
    </row>
    <row r="36" spans="1:35" x14ac:dyDescent="0.25">
      <c r="A36" s="1">
        <v>40086</v>
      </c>
      <c r="B36">
        <v>3.5799999999999998E-2</v>
      </c>
      <c r="C36">
        <v>5.3699999999999998E-2</v>
      </c>
      <c r="D36">
        <v>3.5723345788458705E-2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4.9199999999999999E-3</v>
      </c>
      <c r="L36">
        <v>0</v>
      </c>
      <c r="M36">
        <v>4.2900000000000004E-3</v>
      </c>
      <c r="N36">
        <v>0</v>
      </c>
      <c r="O36">
        <v>0</v>
      </c>
      <c r="P36">
        <v>7.3999999999999999E-4</v>
      </c>
      <c r="Q36">
        <v>0</v>
      </c>
      <c r="R36">
        <v>1.095E-2</v>
      </c>
      <c r="S36">
        <v>0</v>
      </c>
      <c r="T36">
        <v>2.3600000000000001E-3</v>
      </c>
      <c r="U36">
        <v>0</v>
      </c>
      <c r="V36">
        <v>0</v>
      </c>
      <c r="W36">
        <v>0</v>
      </c>
      <c r="X36">
        <v>0</v>
      </c>
      <c r="Y36">
        <v>0</v>
      </c>
      <c r="Z36">
        <v>-8.9999999999999998E-4</v>
      </c>
      <c r="AA36">
        <v>7.0400000000000003E-3</v>
      </c>
      <c r="AB36">
        <v>1.5100000000000001E-3</v>
      </c>
      <c r="AC36">
        <v>0</v>
      </c>
      <c r="AD36">
        <v>0</v>
      </c>
      <c r="AE36">
        <v>0</v>
      </c>
      <c r="AF36">
        <v>0</v>
      </c>
      <c r="AG36">
        <v>5.6299999999999996E-3</v>
      </c>
      <c r="AH36">
        <v>0</v>
      </c>
      <c r="AI36">
        <v>-7.7999999999999999E-4</v>
      </c>
    </row>
    <row r="37" spans="1:35" x14ac:dyDescent="0.25">
      <c r="A37" s="1">
        <v>40116</v>
      </c>
      <c r="B37">
        <v>1.6000000000000001E-3</v>
      </c>
      <c r="C37">
        <v>-1.38E-2</v>
      </c>
      <c r="D37">
        <v>-1.9762000860415463E-2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3.6600000000000001E-3</v>
      </c>
      <c r="L37">
        <v>0</v>
      </c>
      <c r="M37">
        <v>-1.1900000000000001E-3</v>
      </c>
      <c r="N37">
        <v>0</v>
      </c>
      <c r="O37">
        <v>0</v>
      </c>
      <c r="P37">
        <v>-3.0200000000000001E-3</v>
      </c>
      <c r="Q37">
        <v>0</v>
      </c>
      <c r="R37">
        <v>-7.2999999999999996E-4</v>
      </c>
      <c r="S37">
        <v>0</v>
      </c>
      <c r="T37">
        <v>-3.1E-4</v>
      </c>
      <c r="U37">
        <v>0</v>
      </c>
      <c r="V37">
        <v>0</v>
      </c>
      <c r="W37">
        <v>0</v>
      </c>
      <c r="X37">
        <v>0</v>
      </c>
      <c r="Y37">
        <v>0</v>
      </c>
      <c r="Z37">
        <v>2.8999999999999998E-3</v>
      </c>
      <c r="AA37">
        <v>8.9999999999999998E-4</v>
      </c>
      <c r="AB37">
        <v>-1.2999999999999999E-4</v>
      </c>
      <c r="AC37">
        <v>0</v>
      </c>
      <c r="AD37">
        <v>0</v>
      </c>
      <c r="AE37">
        <v>0</v>
      </c>
      <c r="AF37">
        <v>0</v>
      </c>
      <c r="AG37">
        <v>-4.9399999999999999E-3</v>
      </c>
      <c r="AH37">
        <v>0</v>
      </c>
      <c r="AI37">
        <v>4.4600000000000004E-3</v>
      </c>
    </row>
    <row r="38" spans="1:35" x14ac:dyDescent="0.25">
      <c r="A38" s="1">
        <v>40147</v>
      </c>
      <c r="B38">
        <v>6.7599999999999993E-2</v>
      </c>
      <c r="C38">
        <v>7.4200000000000002E-2</v>
      </c>
      <c r="D38">
        <v>5.736406198137356E-2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7.0699999999999999E-3</v>
      </c>
      <c r="L38">
        <v>0</v>
      </c>
      <c r="M38">
        <v>8.0000000000000002E-3</v>
      </c>
      <c r="N38">
        <v>0</v>
      </c>
      <c r="O38">
        <v>0</v>
      </c>
      <c r="P38">
        <v>7.2500000000000004E-3</v>
      </c>
      <c r="Q38">
        <v>0</v>
      </c>
      <c r="R38">
        <v>8.0700000000000008E-3</v>
      </c>
      <c r="S38">
        <v>0</v>
      </c>
      <c r="T38">
        <v>5.9500000000000004E-3</v>
      </c>
      <c r="U38">
        <v>0</v>
      </c>
      <c r="V38">
        <v>0</v>
      </c>
      <c r="W38">
        <v>0</v>
      </c>
      <c r="X38">
        <v>0</v>
      </c>
      <c r="Y38">
        <v>0</v>
      </c>
      <c r="Z38">
        <v>7.6299999999999996E-3</v>
      </c>
      <c r="AA38">
        <v>7.4999999999999997E-3</v>
      </c>
      <c r="AB38">
        <v>2.8900000000000002E-3</v>
      </c>
      <c r="AC38">
        <v>0</v>
      </c>
      <c r="AD38">
        <v>0</v>
      </c>
      <c r="AE38">
        <v>0</v>
      </c>
      <c r="AF38">
        <v>0</v>
      </c>
      <c r="AG38">
        <v>7.9000000000000008E-3</v>
      </c>
      <c r="AH38">
        <v>0</v>
      </c>
      <c r="AI38">
        <v>5.3299999999999997E-3</v>
      </c>
    </row>
    <row r="39" spans="1:35" x14ac:dyDescent="0.25">
      <c r="A39" s="1">
        <v>40178</v>
      </c>
      <c r="B39">
        <v>5.3E-3</v>
      </c>
      <c r="C39">
        <v>3.1300000000000001E-2</v>
      </c>
      <c r="D39">
        <v>1.7770571188400419E-2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-2.4199999999999998E-3</v>
      </c>
      <c r="L39">
        <v>0</v>
      </c>
      <c r="M39">
        <v>6.9800000000000001E-3</v>
      </c>
      <c r="N39">
        <v>0</v>
      </c>
      <c r="O39">
        <v>0</v>
      </c>
      <c r="P39">
        <v>2.5000000000000001E-3</v>
      </c>
      <c r="Q39">
        <v>0</v>
      </c>
      <c r="R39">
        <v>-3.5E-4</v>
      </c>
      <c r="S39">
        <v>0</v>
      </c>
      <c r="T39">
        <v>6.7499999999999999E-3</v>
      </c>
      <c r="U39">
        <v>0</v>
      </c>
      <c r="V39">
        <v>0</v>
      </c>
      <c r="W39">
        <v>0</v>
      </c>
      <c r="X39">
        <v>0</v>
      </c>
      <c r="Y39">
        <v>0</v>
      </c>
      <c r="Z39">
        <v>1.1E-4</v>
      </c>
      <c r="AA39">
        <v>-2.7599999999999999E-3</v>
      </c>
      <c r="AB39">
        <v>3.8300000000000001E-3</v>
      </c>
      <c r="AC39">
        <v>0</v>
      </c>
      <c r="AD39">
        <v>0</v>
      </c>
      <c r="AE39">
        <v>0</v>
      </c>
      <c r="AF39">
        <v>0</v>
      </c>
      <c r="AG39">
        <v>-1.7000000000000001E-4</v>
      </c>
      <c r="AH39">
        <v>0</v>
      </c>
      <c r="AI39">
        <v>-9.1599999999999997E-3</v>
      </c>
    </row>
    <row r="40" spans="1:35" x14ac:dyDescent="0.25">
      <c r="A40" s="10">
        <f>YEAR(A39)</f>
        <v>2009</v>
      </c>
      <c r="B40" s="5" cm="1">
        <f t="array" ref="B40">PRODUCT(1+B28:B39)-1</f>
        <v>0.12968873727652164</v>
      </c>
      <c r="C40" s="5" cm="1">
        <f t="array" ref="C40">PRODUCT(1+C28:C39)-1</f>
        <v>0.35316494670228904</v>
      </c>
      <c r="D40" s="5" cm="1">
        <f t="array" ref="D40">PRODUCT(1+D28:D39)-1</f>
        <v>0.2345419053418214</v>
      </c>
      <c r="E40" s="5" cm="1">
        <f t="array" ref="E40">PRODUCT(1+E28:E39)-1</f>
        <v>0</v>
      </c>
      <c r="F40" s="5" cm="1">
        <f t="array" ref="F40">PRODUCT(1+F28:F39)-1</f>
        <v>0</v>
      </c>
      <c r="G40" s="5" cm="1">
        <f t="array" ref="G40">PRODUCT(1+G28:G39)-1</f>
        <v>0</v>
      </c>
      <c r="H40" s="5" cm="1">
        <f t="array" ref="H40">PRODUCT(1+H28:H39)-1</f>
        <v>0</v>
      </c>
      <c r="I40" s="5" cm="1">
        <f t="array" ref="I40">PRODUCT(1+I28:I39)-1</f>
        <v>0</v>
      </c>
      <c r="J40" s="5" cm="1">
        <f t="array" ref="J40">PRODUCT(1+J28:J39)-1</f>
        <v>0</v>
      </c>
      <c r="K40" s="5" cm="1">
        <f t="array" ref="K40">PRODUCT(1+K28:K39)-1</f>
        <v>2.2523055313932394E-2</v>
      </c>
      <c r="L40" s="5" cm="1">
        <f t="array" ref="L40">PRODUCT(1+L28:L39)-1</f>
        <v>0</v>
      </c>
      <c r="M40" s="5" cm="1">
        <f t="array" ref="M40">PRODUCT(1+M28:M39)-1</f>
        <v>1.5481391034860792E-2</v>
      </c>
      <c r="N40" s="5" cm="1">
        <f t="array" ref="N40">PRODUCT(1+N28:N39)-1</f>
        <v>0</v>
      </c>
      <c r="O40" s="5" cm="1">
        <f t="array" ref="O40">PRODUCT(1+O28:O39)-1</f>
        <v>0</v>
      </c>
      <c r="P40" s="5" cm="1">
        <f t="array" ref="P40">PRODUCT(1+P28:P39)-1</f>
        <v>1.2514539258891899E-2</v>
      </c>
      <c r="Q40" s="5" cm="1">
        <f t="array" ref="Q40">PRODUCT(1+Q28:Q39)-1</f>
        <v>0</v>
      </c>
      <c r="R40" s="5" cm="1">
        <f t="array" ref="R40">PRODUCT(1+R28:R39)-1</f>
        <v>2.8964304277640185E-2</v>
      </c>
      <c r="S40" s="5" cm="1">
        <f t="array" ref="S40">PRODUCT(1+S28:S39)-1</f>
        <v>0</v>
      </c>
      <c r="T40" s="5" cm="1">
        <f t="array" ref="T40">PRODUCT(1+T28:T39)-1</f>
        <v>4.4955308667830041E-2</v>
      </c>
      <c r="U40" s="5" cm="1">
        <f t="array" ref="U40">PRODUCT(1+U28:U39)-1</f>
        <v>0</v>
      </c>
      <c r="V40" s="5" cm="1">
        <f t="array" ref="V40">PRODUCT(1+V28:V39)-1</f>
        <v>0</v>
      </c>
      <c r="W40" s="5" cm="1">
        <f t="array" ref="W40">PRODUCT(1+W28:W39)-1</f>
        <v>0</v>
      </c>
      <c r="X40" s="5" cm="1">
        <f t="array" ref="X40">PRODUCT(1+X28:X39)-1</f>
        <v>0</v>
      </c>
      <c r="Y40" s="5" cm="1">
        <f t="array" ref="Y40">PRODUCT(1+Y28:Y39)-1</f>
        <v>0</v>
      </c>
      <c r="Z40" s="5" cm="1">
        <f t="array" ref="Z40">PRODUCT(1+Z28:Z39)-1</f>
        <v>1.2713550993025624E-2</v>
      </c>
      <c r="AA40" s="5" cm="1">
        <f t="array" ref="AA40">PRODUCT(1+AA28:AA39)-1</f>
        <v>3.7070148429529937E-3</v>
      </c>
      <c r="AB40" s="5" cm="1">
        <f t="array" ref="AB40">PRODUCT(1+AB28:AB39)-1</f>
        <v>-3.5466932638233972E-3</v>
      </c>
      <c r="AC40" s="5" cm="1">
        <f t="array" ref="AC40">PRODUCT(1+AC28:AC39)-1</f>
        <v>0</v>
      </c>
      <c r="AD40" s="5" cm="1">
        <f t="array" ref="AD40">PRODUCT(1+AD28:AD39)-1</f>
        <v>0</v>
      </c>
      <c r="AE40" s="5" cm="1">
        <f t="array" ref="AE40">PRODUCT(1+AE28:AE39)-1</f>
        <v>0</v>
      </c>
      <c r="AF40" s="5" cm="1">
        <f t="array" ref="AF40">PRODUCT(1+AF28:AF39)-1</f>
        <v>0</v>
      </c>
      <c r="AG40" s="5" cm="1">
        <f t="array" ref="AG40">PRODUCT(1+AG28:AG39)-1</f>
        <v>1.2944474428722375E-2</v>
      </c>
      <c r="AH40" s="5" cm="1">
        <f t="array" ref="AH40">PRODUCT(1+AH28:AH39)-1</f>
        <v>0</v>
      </c>
      <c r="AI40" s="5" cm="1">
        <f t="array" ref="AI40">PRODUCT(1+AI28:AI39)-1</f>
        <v>-1.1945434157541457E-2</v>
      </c>
    </row>
    <row r="41" spans="1:35" x14ac:dyDescent="0.25">
      <c r="A41" s="1">
        <v>40207</v>
      </c>
      <c r="B41">
        <v>-4.4900000000000002E-2</v>
      </c>
      <c r="C41">
        <v>-3.8399999999999997E-2</v>
      </c>
      <c r="D41">
        <v>-3.6974246154947377E-2</v>
      </c>
      <c r="E41">
        <v>-5.4000000000000003E-3</v>
      </c>
      <c r="F41">
        <v>-2.5100000000000001E-3</v>
      </c>
      <c r="G41">
        <v>9.0500000000000008E-3</v>
      </c>
      <c r="H41">
        <v>3.8000000000000002E-4</v>
      </c>
      <c r="I41">
        <v>-5.1399999999999996E-3</v>
      </c>
      <c r="J41">
        <v>-6.4099999999999999E-3</v>
      </c>
      <c r="K41">
        <v>0</v>
      </c>
      <c r="L41">
        <v>-3.7000000000000002E-3</v>
      </c>
      <c r="M41">
        <v>0</v>
      </c>
      <c r="N41">
        <v>-6.11E-3</v>
      </c>
      <c r="O41">
        <v>4.64E-3</v>
      </c>
      <c r="P41">
        <v>0</v>
      </c>
      <c r="Q41">
        <v>-1.2899999999999999E-3</v>
      </c>
      <c r="R41">
        <v>0</v>
      </c>
      <c r="S41">
        <v>0</v>
      </c>
      <c r="T41" s="2">
        <v>-1.0000000000000001E-5</v>
      </c>
      <c r="U41">
        <v>-3.0200000000000001E-3</v>
      </c>
      <c r="V41">
        <v>0</v>
      </c>
      <c r="W41">
        <v>5.9000000000000003E-4</v>
      </c>
      <c r="X41">
        <v>-7.2199999999999999E-3</v>
      </c>
      <c r="Y41">
        <v>-2.2399999999999998E-3</v>
      </c>
      <c r="Z41">
        <v>2.2000000000000001E-4</v>
      </c>
      <c r="AA41">
        <v>0</v>
      </c>
      <c r="AB41">
        <v>0</v>
      </c>
      <c r="AC41">
        <v>-7.3299999999999997E-3</v>
      </c>
      <c r="AD41">
        <v>-2.14E-3</v>
      </c>
      <c r="AE41">
        <v>-2.2300000000000002E-3</v>
      </c>
      <c r="AF41">
        <v>2.5000000000000001E-3</v>
      </c>
      <c r="AG41">
        <v>0</v>
      </c>
      <c r="AH41">
        <v>-7.5799999999999999E-3</v>
      </c>
      <c r="AI41">
        <v>0</v>
      </c>
    </row>
    <row r="42" spans="1:35" x14ac:dyDescent="0.25">
      <c r="A42" s="1">
        <v>40235</v>
      </c>
      <c r="B42">
        <v>4.0300000000000002E-2</v>
      </c>
      <c r="C42">
        <v>2.5899999999999999E-2</v>
      </c>
      <c r="D42">
        <v>2.8513688940531301E-2</v>
      </c>
      <c r="E42">
        <v>3.98E-3</v>
      </c>
      <c r="F42">
        <v>-2.0699999999999998E-3</v>
      </c>
      <c r="G42">
        <v>3.7200000000000002E-3</v>
      </c>
      <c r="H42">
        <v>4.5900000000000003E-3</v>
      </c>
      <c r="I42">
        <v>1.5100000000000001E-3</v>
      </c>
      <c r="J42">
        <v>7.77E-3</v>
      </c>
      <c r="K42">
        <v>0</v>
      </c>
      <c r="L42">
        <v>6.4000000000000005E-4</v>
      </c>
      <c r="M42">
        <v>0</v>
      </c>
      <c r="N42">
        <v>4.1700000000000001E-3</v>
      </c>
      <c r="O42">
        <v>3.6999999999999999E-4</v>
      </c>
      <c r="P42">
        <v>0</v>
      </c>
      <c r="Q42">
        <v>1.56E-3</v>
      </c>
      <c r="R42">
        <v>0</v>
      </c>
      <c r="S42">
        <v>2.3000000000000001E-4</v>
      </c>
      <c r="T42">
        <v>0</v>
      </c>
      <c r="U42">
        <v>8.8000000000000003E-4</v>
      </c>
      <c r="V42">
        <v>0</v>
      </c>
      <c r="W42">
        <v>3.98E-3</v>
      </c>
      <c r="X42">
        <v>2.16E-3</v>
      </c>
      <c r="Y42">
        <v>1.17E-3</v>
      </c>
      <c r="Z42">
        <v>-4.2999999999999999E-4</v>
      </c>
      <c r="AA42">
        <v>0</v>
      </c>
      <c r="AB42">
        <v>0</v>
      </c>
      <c r="AC42">
        <v>7.1799999999999998E-3</v>
      </c>
      <c r="AD42">
        <v>-5.8E-4</v>
      </c>
      <c r="AE42">
        <v>-8.0000000000000004E-4</v>
      </c>
      <c r="AF42">
        <v>7.9000000000000001E-4</v>
      </c>
      <c r="AG42" s="2">
        <v>2.0000000000000002E-5</v>
      </c>
      <c r="AH42">
        <v>-5.5999999999999995E-4</v>
      </c>
      <c r="AI42">
        <v>0</v>
      </c>
    </row>
    <row r="43" spans="1:35" x14ac:dyDescent="0.25">
      <c r="A43" s="1">
        <v>40268</v>
      </c>
      <c r="B43">
        <v>8.3699999999999997E-2</v>
      </c>
      <c r="C43">
        <v>6.4399999999999999E-2</v>
      </c>
      <c r="D43">
        <v>5.8796426031891835E-2</v>
      </c>
      <c r="E43">
        <v>9.0399999999999994E-3</v>
      </c>
      <c r="F43">
        <v>5.4299999999999999E-3</v>
      </c>
      <c r="G43">
        <v>1.133E-2</v>
      </c>
      <c r="H43">
        <v>3.3899999999999998E-3</v>
      </c>
      <c r="I43" s="2">
        <v>-1.0000000000000001E-5</v>
      </c>
      <c r="J43">
        <v>8.5800000000000008E-3</v>
      </c>
      <c r="K43">
        <v>0</v>
      </c>
      <c r="L43">
        <v>4.0699999999999998E-3</v>
      </c>
      <c r="M43">
        <v>0</v>
      </c>
      <c r="N43">
        <v>8.5800000000000008E-3</v>
      </c>
      <c r="O43">
        <v>9.8499999999999994E-3</v>
      </c>
      <c r="P43">
        <v>0</v>
      </c>
      <c r="Q43">
        <v>1.32E-3</v>
      </c>
      <c r="R43">
        <v>0</v>
      </c>
      <c r="S43">
        <v>3.2000000000000003E-4</v>
      </c>
      <c r="T43" s="2">
        <v>1.0000000000000001E-5</v>
      </c>
      <c r="U43">
        <v>8.5999999999999998E-4</v>
      </c>
      <c r="V43">
        <v>0</v>
      </c>
      <c r="W43">
        <v>3.1199999999999999E-3</v>
      </c>
      <c r="X43">
        <v>3.0400000000000002E-3</v>
      </c>
      <c r="Y43">
        <v>3.81E-3</v>
      </c>
      <c r="Z43">
        <v>-2.0000000000000001E-4</v>
      </c>
      <c r="AA43">
        <v>0</v>
      </c>
      <c r="AB43">
        <v>0</v>
      </c>
      <c r="AC43">
        <v>5.3699999999999998E-3</v>
      </c>
      <c r="AD43">
        <v>1.1000000000000001E-3</v>
      </c>
      <c r="AE43">
        <v>1.5100000000000001E-3</v>
      </c>
      <c r="AF43">
        <v>-1.06E-3</v>
      </c>
      <c r="AG43" s="2">
        <v>6.9999999999999994E-5</v>
      </c>
      <c r="AH43">
        <v>4.1599999999999996E-3</v>
      </c>
      <c r="AI43">
        <v>0</v>
      </c>
    </row>
    <row r="44" spans="1:35" x14ac:dyDescent="0.25">
      <c r="A44" s="1">
        <v>40298</v>
      </c>
      <c r="B44">
        <v>3.56E-2</v>
      </c>
      <c r="C44">
        <v>2.4E-2</v>
      </c>
      <c r="D44">
        <v>1.4759229883791081E-2</v>
      </c>
      <c r="E44">
        <v>6.7600000000000004E-3</v>
      </c>
      <c r="F44">
        <v>3.6000000000000002E-4</v>
      </c>
      <c r="G44">
        <v>-1.9000000000000001E-4</v>
      </c>
      <c r="H44" s="2">
        <v>-5.0000000000000002E-5</v>
      </c>
      <c r="I44">
        <v>-1.0059999999999999E-2</v>
      </c>
      <c r="J44">
        <v>7.6E-3</v>
      </c>
      <c r="K44">
        <v>0</v>
      </c>
      <c r="L44">
        <v>9.6500000000000006E-3</v>
      </c>
      <c r="M44">
        <v>0</v>
      </c>
      <c r="N44">
        <v>4.0400000000000002E-3</v>
      </c>
      <c r="O44">
        <v>2.6800000000000001E-3</v>
      </c>
      <c r="P44">
        <v>0</v>
      </c>
      <c r="Q44">
        <v>-9.5E-4</v>
      </c>
      <c r="R44">
        <v>0</v>
      </c>
      <c r="S44">
        <v>4.2000000000000002E-4</v>
      </c>
      <c r="T44" s="2">
        <v>2.0000000000000002E-5</v>
      </c>
      <c r="U44">
        <v>1.6999999999999999E-3</v>
      </c>
      <c r="V44">
        <v>0</v>
      </c>
      <c r="W44">
        <v>1.5299999999999999E-3</v>
      </c>
      <c r="X44">
        <v>-3.98E-3</v>
      </c>
      <c r="Y44">
        <v>2.9499999999999999E-3</v>
      </c>
      <c r="Z44">
        <v>-2.2000000000000001E-4</v>
      </c>
      <c r="AA44">
        <v>0</v>
      </c>
      <c r="AB44">
        <v>0</v>
      </c>
      <c r="AC44">
        <v>4.5799999999999999E-3</v>
      </c>
      <c r="AD44">
        <v>6.6E-4</v>
      </c>
      <c r="AE44">
        <v>1.9000000000000001E-4</v>
      </c>
      <c r="AF44">
        <v>-2.15E-3</v>
      </c>
      <c r="AG44" s="2">
        <v>5.0000000000000002E-5</v>
      </c>
      <c r="AH44">
        <v>1.001E-2</v>
      </c>
      <c r="AI44">
        <v>0</v>
      </c>
    </row>
    <row r="45" spans="1:35" x14ac:dyDescent="0.25">
      <c r="A45" s="1">
        <v>40326</v>
      </c>
      <c r="B45">
        <v>-9.2999999999999999E-2</v>
      </c>
      <c r="C45">
        <v>-8.1799999999999998E-2</v>
      </c>
      <c r="D45">
        <v>-8.1975841910334468E-2</v>
      </c>
      <c r="E45">
        <v>-9.7999999999999997E-4</v>
      </c>
      <c r="F45">
        <v>-3.14E-3</v>
      </c>
      <c r="G45">
        <v>-8.1799999999999998E-3</v>
      </c>
      <c r="H45">
        <v>-5.5199999999999997E-3</v>
      </c>
      <c r="I45">
        <v>-5.6899999999999997E-3</v>
      </c>
      <c r="J45">
        <v>-9.0900000000000009E-3</v>
      </c>
      <c r="K45">
        <v>0</v>
      </c>
      <c r="L45">
        <v>-7.0600000000000003E-3</v>
      </c>
      <c r="M45">
        <v>0</v>
      </c>
      <c r="N45">
        <v>-6.7799999999999996E-3</v>
      </c>
      <c r="O45">
        <v>-9.8399999999999998E-3</v>
      </c>
      <c r="P45">
        <v>0</v>
      </c>
      <c r="Q45">
        <v>-1.41E-3</v>
      </c>
      <c r="R45">
        <v>0</v>
      </c>
      <c r="S45">
        <v>-3.2000000000000003E-4</v>
      </c>
      <c r="T45" s="2">
        <v>-3.0000000000000001E-5</v>
      </c>
      <c r="U45">
        <v>-6.0299999999999998E-3</v>
      </c>
      <c r="V45">
        <v>0</v>
      </c>
      <c r="W45">
        <v>-4.4900000000000001E-3</v>
      </c>
      <c r="X45">
        <v>-6.7099999999999998E-3</v>
      </c>
      <c r="Y45">
        <v>-4.1999999999999997E-3</v>
      </c>
      <c r="Z45">
        <v>-6.7000000000000002E-4</v>
      </c>
      <c r="AA45">
        <v>0</v>
      </c>
      <c r="AB45">
        <v>0</v>
      </c>
      <c r="AC45">
        <v>-2.8600000000000001E-3</v>
      </c>
      <c r="AD45">
        <v>-1.8E-3</v>
      </c>
      <c r="AE45">
        <v>-1.58E-3</v>
      </c>
      <c r="AF45">
        <v>-1.24E-3</v>
      </c>
      <c r="AG45" s="2">
        <v>-6.0000000000000002E-5</v>
      </c>
      <c r="AH45">
        <v>-5.3899999999999998E-3</v>
      </c>
      <c r="AI45">
        <v>0</v>
      </c>
    </row>
    <row r="46" spans="1:35" x14ac:dyDescent="0.25">
      <c r="A46" s="1">
        <v>40359</v>
      </c>
      <c r="B46">
        <v>-7.1999999999999995E-2</v>
      </c>
      <c r="C46">
        <v>-5.4800000000000001E-2</v>
      </c>
      <c r="D46">
        <v>-5.3882442026415123E-2</v>
      </c>
      <c r="E46">
        <v>-1.2700000000000001E-3</v>
      </c>
      <c r="F46">
        <v>-4.7800000000000004E-3</v>
      </c>
      <c r="G46">
        <v>-1.6900000000000001E-3</v>
      </c>
      <c r="H46">
        <v>-4.0699999999999998E-3</v>
      </c>
      <c r="I46">
        <v>-9.0799999999999995E-3</v>
      </c>
      <c r="J46">
        <v>-9.6000000000000002E-4</v>
      </c>
      <c r="K46">
        <v>0</v>
      </c>
      <c r="L46">
        <v>-3.29E-3</v>
      </c>
      <c r="M46">
        <v>0</v>
      </c>
      <c r="N46">
        <v>-4.1900000000000001E-3</v>
      </c>
      <c r="O46">
        <v>-8.2699999999999996E-3</v>
      </c>
      <c r="P46">
        <v>0</v>
      </c>
      <c r="Q46">
        <v>-1.5E-3</v>
      </c>
      <c r="R46">
        <v>0</v>
      </c>
      <c r="S46">
        <v>-1.1E-4</v>
      </c>
      <c r="T46">
        <v>0</v>
      </c>
      <c r="U46">
        <v>-4.3299999999999996E-3</v>
      </c>
      <c r="V46">
        <v>0</v>
      </c>
      <c r="W46">
        <v>-4.4299999999999999E-3</v>
      </c>
      <c r="X46">
        <v>-9.1400000000000006E-3</v>
      </c>
      <c r="Y46">
        <v>-3.6600000000000001E-3</v>
      </c>
      <c r="Z46">
        <v>-5.5000000000000003E-4</v>
      </c>
      <c r="AA46">
        <v>0</v>
      </c>
      <c r="AB46">
        <v>0</v>
      </c>
      <c r="AC46">
        <v>-3.7799999999999999E-3</v>
      </c>
      <c r="AD46">
        <v>-1.2E-4</v>
      </c>
      <c r="AE46" s="2">
        <v>2.0000000000000002E-5</v>
      </c>
      <c r="AF46">
        <v>-5.6999999999999998E-4</v>
      </c>
      <c r="AG46" s="2">
        <v>-6.9999999999999994E-5</v>
      </c>
      <c r="AH46">
        <v>-6.1999999999999998E-3</v>
      </c>
      <c r="AI46">
        <v>0</v>
      </c>
    </row>
    <row r="47" spans="1:35" x14ac:dyDescent="0.25">
      <c r="A47" s="1">
        <v>40389</v>
      </c>
      <c r="B47">
        <v>7.5899999999999995E-2</v>
      </c>
      <c r="C47">
        <v>6.7699999999999996E-2</v>
      </c>
      <c r="D47">
        <v>6.8777849911552336E-2</v>
      </c>
      <c r="E47">
        <v>1.3799999999999999E-3</v>
      </c>
      <c r="F47">
        <v>2.9199999999999999E-3</v>
      </c>
      <c r="G47">
        <v>6.4999999999999997E-3</v>
      </c>
      <c r="H47">
        <v>-1.08E-3</v>
      </c>
      <c r="I47">
        <v>6.3800000000000003E-3</v>
      </c>
      <c r="J47">
        <v>1.422E-2</v>
      </c>
      <c r="K47">
        <v>0</v>
      </c>
      <c r="L47">
        <v>8.3800000000000003E-3</v>
      </c>
      <c r="M47">
        <v>0</v>
      </c>
      <c r="N47">
        <v>5.0800000000000003E-3</v>
      </c>
      <c r="O47">
        <v>8.7100000000000007E-3</v>
      </c>
      <c r="P47">
        <v>0</v>
      </c>
      <c r="Q47">
        <v>2.0300000000000001E-3</v>
      </c>
      <c r="R47">
        <v>0</v>
      </c>
      <c r="S47">
        <v>4.2000000000000002E-4</v>
      </c>
      <c r="T47" s="2">
        <v>2.0000000000000002E-5</v>
      </c>
      <c r="U47">
        <v>4.8700000000000002E-3</v>
      </c>
      <c r="V47">
        <v>0</v>
      </c>
      <c r="W47">
        <v>3.4199999999999999E-3</v>
      </c>
      <c r="X47">
        <v>-4.1000000000000003E-3</v>
      </c>
      <c r="Y47">
        <v>6.0999999999999997E-4</v>
      </c>
      <c r="Z47">
        <v>4.4999999999999999E-4</v>
      </c>
      <c r="AA47">
        <v>0</v>
      </c>
      <c r="AB47">
        <v>0</v>
      </c>
      <c r="AC47">
        <v>7.8700000000000003E-3</v>
      </c>
      <c r="AD47">
        <v>2.3900000000000002E-3</v>
      </c>
      <c r="AE47">
        <v>1.64E-3</v>
      </c>
      <c r="AF47">
        <v>2.1800000000000001E-3</v>
      </c>
      <c r="AG47">
        <v>1E-4</v>
      </c>
      <c r="AH47">
        <v>1.5200000000000001E-3</v>
      </c>
      <c r="AI47">
        <v>0</v>
      </c>
    </row>
    <row r="48" spans="1:35" x14ac:dyDescent="0.25">
      <c r="A48" s="1">
        <v>40421</v>
      </c>
      <c r="B48">
        <v>-5.5100000000000003E-2</v>
      </c>
      <c r="C48">
        <v>-3.3000000000000002E-2</v>
      </c>
      <c r="D48">
        <v>-4.7449184040287196E-2</v>
      </c>
      <c r="E48">
        <v>-3.3500000000000001E-3</v>
      </c>
      <c r="F48">
        <v>2.1800000000000001E-3</v>
      </c>
      <c r="G48">
        <v>-7.3200000000000001E-3</v>
      </c>
      <c r="H48">
        <v>-5.3E-3</v>
      </c>
      <c r="I48">
        <v>-5.9899999999999997E-3</v>
      </c>
      <c r="J48">
        <v>-5.5500000000000002E-3</v>
      </c>
      <c r="K48">
        <v>0</v>
      </c>
      <c r="L48">
        <v>-3.1099999999999999E-3</v>
      </c>
      <c r="M48">
        <v>0</v>
      </c>
      <c r="N48">
        <v>-2.49E-3</v>
      </c>
      <c r="O48">
        <v>-7.5199999999999998E-3</v>
      </c>
      <c r="P48">
        <v>0</v>
      </c>
      <c r="Q48">
        <v>-1.9499999999999999E-3</v>
      </c>
      <c r="R48">
        <v>0</v>
      </c>
      <c r="S48">
        <v>4.0000000000000002E-4</v>
      </c>
      <c r="T48" s="2">
        <v>-2.0000000000000002E-5</v>
      </c>
      <c r="U48">
        <v>-3.4299999999999999E-3</v>
      </c>
      <c r="V48">
        <v>0</v>
      </c>
      <c r="W48">
        <v>-3.0599999999999998E-3</v>
      </c>
      <c r="X48">
        <v>5.9999999999999995E-4</v>
      </c>
      <c r="Y48">
        <v>-3.7699999999999999E-3</v>
      </c>
      <c r="Z48">
        <v>6.2E-4</v>
      </c>
      <c r="AA48">
        <v>0</v>
      </c>
      <c r="AB48">
        <v>0</v>
      </c>
      <c r="AC48">
        <v>1.5399999999999999E-3</v>
      </c>
      <c r="AD48">
        <v>1.1199999999999999E-3</v>
      </c>
      <c r="AE48">
        <v>-1.3799999999999999E-3</v>
      </c>
      <c r="AF48">
        <v>1.2600000000000001E-3</v>
      </c>
      <c r="AG48" s="2">
        <v>-1.0000000000000001E-5</v>
      </c>
      <c r="AH48">
        <v>-8.5699999999999995E-3</v>
      </c>
      <c r="AI48">
        <v>0</v>
      </c>
    </row>
    <row r="49" spans="1:35" x14ac:dyDescent="0.25">
      <c r="A49" s="1">
        <v>40451</v>
      </c>
      <c r="B49">
        <v>0.1086</v>
      </c>
      <c r="C49">
        <v>8.7099999999999997E-2</v>
      </c>
      <c r="D49">
        <v>8.7551102944020132E-2</v>
      </c>
      <c r="E49">
        <v>1.018E-2</v>
      </c>
      <c r="F49">
        <v>9.5499999999999995E-3</v>
      </c>
      <c r="G49">
        <v>6.7000000000000002E-3</v>
      </c>
      <c r="H49">
        <v>2.47E-3</v>
      </c>
      <c r="I49">
        <v>1.294E-2</v>
      </c>
      <c r="J49">
        <v>1.7510000000000001E-2</v>
      </c>
      <c r="K49">
        <v>0</v>
      </c>
      <c r="L49">
        <v>5.8700000000000002E-3</v>
      </c>
      <c r="M49">
        <v>0</v>
      </c>
      <c r="N49">
        <v>1.2600000000000001E-3</v>
      </c>
      <c r="O49">
        <v>9.6500000000000006E-3</v>
      </c>
      <c r="P49">
        <v>0</v>
      </c>
      <c r="Q49">
        <v>9.3999999999999997E-4</v>
      </c>
      <c r="R49">
        <v>0</v>
      </c>
      <c r="S49">
        <v>1.3999999999999999E-4</v>
      </c>
      <c r="T49" s="2">
        <v>3.0000000000000001E-5</v>
      </c>
      <c r="U49">
        <v>1.75E-3</v>
      </c>
      <c r="V49">
        <v>0</v>
      </c>
      <c r="W49">
        <v>5.3299999999999997E-3</v>
      </c>
      <c r="X49">
        <v>1.0359999999999999E-2</v>
      </c>
      <c r="Y49">
        <v>4.64E-3</v>
      </c>
      <c r="Z49">
        <v>6.8000000000000005E-4</v>
      </c>
      <c r="AA49">
        <v>0</v>
      </c>
      <c r="AB49">
        <v>0</v>
      </c>
      <c r="AC49">
        <v>1.9E-3</v>
      </c>
      <c r="AD49">
        <v>1.5499999999999999E-3</v>
      </c>
      <c r="AE49">
        <v>1.57E-3</v>
      </c>
      <c r="AF49">
        <v>3.3500000000000001E-3</v>
      </c>
      <c r="AG49" s="2">
        <v>3.0000000000000001E-5</v>
      </c>
      <c r="AH49">
        <v>2.1000000000000001E-4</v>
      </c>
      <c r="AI49">
        <v>0</v>
      </c>
    </row>
    <row r="50" spans="1:35" x14ac:dyDescent="0.25">
      <c r="A50" s="1">
        <v>40480</v>
      </c>
      <c r="B50">
        <v>2.52E-2</v>
      </c>
      <c r="C50">
        <v>2.52E-2</v>
      </c>
      <c r="D50">
        <v>3.6855994397076541E-2</v>
      </c>
      <c r="E50">
        <v>3.7000000000000002E-3</v>
      </c>
      <c r="F50">
        <v>1.92E-3</v>
      </c>
      <c r="G50">
        <v>4.6600000000000001E-3</v>
      </c>
      <c r="H50">
        <v>-5.94E-3</v>
      </c>
      <c r="I50">
        <v>2.7999999999999998E-4</v>
      </c>
      <c r="J50">
        <v>3.8999999999999999E-4</v>
      </c>
      <c r="K50">
        <v>0</v>
      </c>
      <c r="L50">
        <v>2.6900000000000001E-3</v>
      </c>
      <c r="M50">
        <v>0</v>
      </c>
      <c r="N50">
        <v>6.6699999999999997E-3</v>
      </c>
      <c r="O50">
        <v>-1.0499999999999999E-3</v>
      </c>
      <c r="P50">
        <v>0</v>
      </c>
      <c r="Q50">
        <v>-2.0000000000000001E-4</v>
      </c>
      <c r="R50">
        <v>0</v>
      </c>
      <c r="S50">
        <v>3.2000000000000003E-4</v>
      </c>
      <c r="T50" s="2">
        <v>-1.0000000000000001E-5</v>
      </c>
      <c r="U50">
        <v>3.5500000000000002E-3</v>
      </c>
      <c r="V50">
        <v>0</v>
      </c>
      <c r="W50">
        <v>1.89E-3</v>
      </c>
      <c r="X50">
        <v>1.1900000000000001E-3</v>
      </c>
      <c r="Y50">
        <v>2.5999999999999998E-4</v>
      </c>
      <c r="Z50">
        <v>1.2E-4</v>
      </c>
      <c r="AA50">
        <v>0</v>
      </c>
      <c r="AB50">
        <v>0</v>
      </c>
      <c r="AC50">
        <v>2.65E-3</v>
      </c>
      <c r="AD50">
        <v>3.2000000000000003E-4</v>
      </c>
      <c r="AE50">
        <v>1.5100000000000001E-3</v>
      </c>
      <c r="AF50">
        <v>8.0999999999999996E-4</v>
      </c>
      <c r="AG50" s="2">
        <v>1.0000000000000001E-5</v>
      </c>
      <c r="AH50">
        <v>-5.1999999999999995E-4</v>
      </c>
      <c r="AI50">
        <v>0</v>
      </c>
    </row>
    <row r="51" spans="1:35" x14ac:dyDescent="0.25">
      <c r="A51" s="1">
        <v>40512</v>
      </c>
      <c r="B51">
        <v>1.6199999999999999E-2</v>
      </c>
      <c r="C51">
        <v>1.12E-2</v>
      </c>
      <c r="D51">
        <v>-2.2902497989432113E-3</v>
      </c>
      <c r="E51">
        <v>2.0600000000000002E-3</v>
      </c>
      <c r="F51">
        <v>2.2799999999999999E-3</v>
      </c>
      <c r="G51">
        <v>-6.9100000000000003E-3</v>
      </c>
      <c r="H51">
        <v>-2.0500000000000002E-3</v>
      </c>
      <c r="I51">
        <v>-3.0300000000000001E-3</v>
      </c>
      <c r="J51">
        <v>6.4400000000000004E-3</v>
      </c>
      <c r="K51">
        <v>0</v>
      </c>
      <c r="L51">
        <v>8.0999999999999996E-4</v>
      </c>
      <c r="M51">
        <v>0</v>
      </c>
      <c r="N51">
        <v>7.7999999999999999E-4</v>
      </c>
      <c r="O51">
        <v>-8.8000000000000003E-4</v>
      </c>
      <c r="P51">
        <v>0</v>
      </c>
      <c r="Q51">
        <v>-1.2E-4</v>
      </c>
      <c r="R51">
        <v>0</v>
      </c>
      <c r="S51">
        <v>1.1E-4</v>
      </c>
      <c r="T51">
        <v>0</v>
      </c>
      <c r="U51">
        <v>-1.8699999999999999E-3</v>
      </c>
      <c r="V51">
        <v>0</v>
      </c>
      <c r="W51">
        <v>-7.5000000000000002E-4</v>
      </c>
      <c r="X51">
        <v>5.4200000000000003E-3</v>
      </c>
      <c r="Y51">
        <v>7.3499999999999998E-3</v>
      </c>
      <c r="Z51">
        <v>-4.6000000000000001E-4</v>
      </c>
      <c r="AA51">
        <v>0</v>
      </c>
      <c r="AB51">
        <v>0</v>
      </c>
      <c r="AC51">
        <v>2.5600000000000002E-3</v>
      </c>
      <c r="AD51">
        <v>-6.8000000000000005E-4</v>
      </c>
      <c r="AE51">
        <v>-2.9E-4</v>
      </c>
      <c r="AF51">
        <v>3.8999999999999999E-4</v>
      </c>
      <c r="AG51" s="2">
        <v>3.0000000000000001E-5</v>
      </c>
      <c r="AH51">
        <v>4.9800000000000001E-3</v>
      </c>
      <c r="AI51">
        <v>0</v>
      </c>
    </row>
    <row r="52" spans="1:35" x14ac:dyDescent="0.25">
      <c r="A52" s="1">
        <v>40543</v>
      </c>
      <c r="B52">
        <v>9.1200000000000003E-2</v>
      </c>
      <c r="C52">
        <v>6.93E-2</v>
      </c>
      <c r="D52">
        <v>6.5300040489854716E-2</v>
      </c>
      <c r="E52">
        <v>2.2300000000000002E-3</v>
      </c>
      <c r="F52">
        <v>9.7000000000000005E-4</v>
      </c>
      <c r="G52">
        <v>1.7700000000000001E-3</v>
      </c>
      <c r="H52">
        <v>1.0319999999999999E-2</v>
      </c>
      <c r="I52">
        <v>1.1379999999999999E-2</v>
      </c>
      <c r="J52">
        <v>9.0399999999999994E-3</v>
      </c>
      <c r="K52">
        <v>0</v>
      </c>
      <c r="L52">
        <v>8.1200000000000005E-3</v>
      </c>
      <c r="M52">
        <v>0</v>
      </c>
      <c r="N52">
        <v>2.8E-3</v>
      </c>
      <c r="O52">
        <v>1.214E-2</v>
      </c>
      <c r="P52">
        <v>0</v>
      </c>
      <c r="Q52">
        <v>2.6800000000000001E-3</v>
      </c>
      <c r="R52">
        <v>0</v>
      </c>
      <c r="S52">
        <v>-1.3999999999999999E-4</v>
      </c>
      <c r="T52" s="2">
        <v>1.0000000000000001E-5</v>
      </c>
      <c r="U52">
        <v>4.1999999999999997E-3</v>
      </c>
      <c r="V52">
        <v>0</v>
      </c>
      <c r="W52">
        <v>2.2300000000000002E-3</v>
      </c>
      <c r="X52">
        <v>5.4000000000000003E-3</v>
      </c>
      <c r="Y52">
        <v>7.0899999999999999E-3</v>
      </c>
      <c r="Z52">
        <v>6.4000000000000005E-4</v>
      </c>
      <c r="AA52">
        <v>0</v>
      </c>
      <c r="AB52">
        <v>0</v>
      </c>
      <c r="AC52">
        <v>7.5000000000000002E-4</v>
      </c>
      <c r="AD52">
        <v>1.5200000000000001E-3</v>
      </c>
      <c r="AE52">
        <v>3.31E-3</v>
      </c>
      <c r="AF52">
        <v>-2.4000000000000001E-4</v>
      </c>
      <c r="AG52" s="2">
        <v>2.0000000000000002E-5</v>
      </c>
      <c r="AH52">
        <v>4.9800000000000001E-3</v>
      </c>
      <c r="AI52">
        <v>0</v>
      </c>
    </row>
    <row r="53" spans="1:35" x14ac:dyDescent="0.25">
      <c r="A53" s="10">
        <f>YEAR(A52)</f>
        <v>2010</v>
      </c>
      <c r="B53" s="5" cm="1">
        <f t="array" ref="B53">PRODUCT(1+B41:B52)-1</f>
        <v>0.20250972724784533</v>
      </c>
      <c r="C53" s="5" cm="1">
        <f t="array" ref="C53">PRODUCT(1+C41:C52)-1</f>
        <v>0.1610628950434172</v>
      </c>
      <c r="D53" s="5" cm="1">
        <f t="array" ref="D53">PRODUCT(1+D41:D52)-1</f>
        <v>0.12782713843408811</v>
      </c>
      <c r="E53" s="5" cm="1">
        <f t="array" ref="E53">PRODUCT(1+E41:E52)-1</f>
        <v>2.8573967841221348E-2</v>
      </c>
      <c r="F53" s="5" cm="1">
        <f t="array" ref="F53">PRODUCT(1+F41:F52)-1</f>
        <v>1.3101783375452314E-2</v>
      </c>
      <c r="G53" s="5" cm="1">
        <f t="array" ref="G53">PRODUCT(1+G41:G52)-1</f>
        <v>1.937217761701393E-2</v>
      </c>
      <c r="H53" s="5" cm="1">
        <f t="array" ref="H53">PRODUCT(1+H41:H52)-1</f>
        <v>-2.9858659792183495E-3</v>
      </c>
      <c r="I53" s="5" cm="1">
        <f t="array" ref="I53">PRODUCT(1+I41:I52)-1</f>
        <v>-6.8000251911602971E-3</v>
      </c>
      <c r="J53" s="5" cm="1">
        <f t="array" ref="J53">PRODUCT(1+J41:J52)-1</f>
        <v>5.0276525969625174E-2</v>
      </c>
      <c r="K53" s="5" cm="1">
        <f t="array" ref="K53">PRODUCT(1+K41:K52)-1</f>
        <v>0</v>
      </c>
      <c r="L53" s="5" cm="1">
        <f t="array" ref="L53">PRODUCT(1+L41:L52)-1</f>
        <v>2.314814609394733E-2</v>
      </c>
      <c r="M53" s="5" cm="1">
        <f t="array" ref="M53">PRODUCT(1+M41:M52)-1</f>
        <v>0</v>
      </c>
      <c r="N53" s="5" cm="1">
        <f t="array" ref="N53">PRODUCT(1+N41:N52)-1</f>
        <v>1.3756600378627803E-2</v>
      </c>
      <c r="O53" s="5" cm="1">
        <f t="array" ref="O53">PRODUCT(1+O41:O52)-1</f>
        <v>2.0352206855331012E-2</v>
      </c>
      <c r="P53" s="5" cm="1">
        <f t="array" ref="P53">PRODUCT(1+P41:P52)-1</f>
        <v>0</v>
      </c>
      <c r="Q53" s="5" cm="1">
        <f t="array" ref="Q53">PRODUCT(1+Q41:Q52)-1</f>
        <v>1.0970950707971383E-3</v>
      </c>
      <c r="R53" s="5" cm="1">
        <f t="array" ref="R53">PRODUCT(1+R41:R52)-1</f>
        <v>0</v>
      </c>
      <c r="S53" s="5" cm="1">
        <f t="array" ref="S53">PRODUCT(1+S41:S52)-1</f>
        <v>1.7911341035155015E-3</v>
      </c>
      <c r="T53" s="5" cm="1">
        <f t="array" ref="T53">PRODUCT(1+T41:T52)-1</f>
        <v>1.9998499970030892E-5</v>
      </c>
      <c r="U53" s="5" cm="1">
        <f t="array" ref="U53">PRODUCT(1+U41:U52)-1</f>
        <v>-9.4006054258344296E-4</v>
      </c>
      <c r="V53" s="5" cm="1">
        <f t="array" ref="V53">PRODUCT(1+V41:V52)-1</f>
        <v>0</v>
      </c>
      <c r="W53" s="5" cm="1">
        <f t="array" ref="W53">PRODUCT(1+W41:W52)-1</f>
        <v>9.3400688909384133E-3</v>
      </c>
      <c r="X53" s="5" cm="1">
        <f t="array" ref="X53">PRODUCT(1+X41:X52)-1</f>
        <v>-3.1724445252185873E-3</v>
      </c>
      <c r="Y53" s="5" cm="1">
        <f t="array" ref="Y53">PRODUCT(1+Y41:Y52)-1</f>
        <v>1.4006880801185506E-2</v>
      </c>
      <c r="Z53" s="5" cm="1">
        <f t="array" ref="Z53">PRODUCT(1+Z41:Z52)-1</f>
        <v>1.9864081149556512E-4</v>
      </c>
      <c r="AA53" s="5" cm="1">
        <f t="array" ref="AA53">PRODUCT(1+AA41:AA52)-1</f>
        <v>0</v>
      </c>
      <c r="AB53" s="5" cm="1">
        <f t="array" ref="AB53">PRODUCT(1+AB41:AB52)-1</f>
        <v>0</v>
      </c>
      <c r="AC53" s="5" cm="1">
        <f t="array" ref="AC53">PRODUCT(1+AC41:AC52)-1</f>
        <v>2.0507870122922212E-2</v>
      </c>
      <c r="AD53" s="5" cm="1">
        <f t="array" ref="AD53">PRODUCT(1+AD41:AD52)-1</f>
        <v>3.3345196630252261E-3</v>
      </c>
      <c r="AE53" s="5" cm="1">
        <f t="array" ref="AE53">PRODUCT(1+AE41:AE52)-1</f>
        <v>3.4605825226028397E-3</v>
      </c>
      <c r="AF53" s="5" cm="1">
        <f t="array" ref="AF53">PRODUCT(1+AF41:AF52)-1</f>
        <v>6.0216197542390937E-3</v>
      </c>
      <c r="AG53" s="5" cm="1">
        <f t="array" ref="AG53">PRODUCT(1+AG41:AG52)-1</f>
        <v>1.9000369874300205E-4</v>
      </c>
      <c r="AH53" s="5" cm="1">
        <f t="array" ref="AH53">PRODUCT(1+AH41:AH52)-1</f>
        <v>-3.1393316878953748E-3</v>
      </c>
      <c r="AI53" s="5" cm="1">
        <f t="array" ref="AI53">PRODUCT(1+AI41:AI52)-1</f>
        <v>0</v>
      </c>
    </row>
    <row r="54" spans="1:35" x14ac:dyDescent="0.25">
      <c r="A54" s="1">
        <v>40574</v>
      </c>
      <c r="B54">
        <v>5.0799999999999998E-2</v>
      </c>
      <c r="C54">
        <v>3.4700000000000002E-2</v>
      </c>
      <c r="D54">
        <v>2.2645573980086819E-2</v>
      </c>
      <c r="E54">
        <v>2.8500000000000001E-3</v>
      </c>
      <c r="F54">
        <v>-1.74E-3</v>
      </c>
      <c r="G54">
        <v>4.4200000000000003E-3</v>
      </c>
      <c r="H54">
        <v>9.6000000000000002E-4</v>
      </c>
      <c r="I54">
        <v>2.15E-3</v>
      </c>
      <c r="J54">
        <v>2.8800000000000002E-3</v>
      </c>
      <c r="K54">
        <v>0</v>
      </c>
      <c r="L54">
        <v>3.7699999999999999E-3</v>
      </c>
      <c r="M54">
        <v>1E-4</v>
      </c>
      <c r="N54">
        <v>2.7499999999999998E-3</v>
      </c>
      <c r="O54">
        <v>6.7999999999999996E-3</v>
      </c>
      <c r="P54">
        <v>-6.4000000000000005E-4</v>
      </c>
      <c r="Q54">
        <v>1.8600000000000001E-3</v>
      </c>
      <c r="R54">
        <v>-7.9000000000000001E-4</v>
      </c>
      <c r="S54">
        <v>0</v>
      </c>
      <c r="T54">
        <v>2.5999999999999998E-4</v>
      </c>
      <c r="U54">
        <v>-3.8999999999999999E-4</v>
      </c>
      <c r="V54">
        <v>-1E-4</v>
      </c>
      <c r="W54">
        <v>3.98E-3</v>
      </c>
      <c r="X54">
        <v>1.8700000000000001E-2</v>
      </c>
      <c r="Y54">
        <v>-6.4999999999999997E-4</v>
      </c>
      <c r="Z54">
        <v>2.9E-4</v>
      </c>
      <c r="AA54">
        <v>0</v>
      </c>
      <c r="AB54">
        <v>0</v>
      </c>
      <c r="AC54">
        <v>9.7000000000000005E-4</v>
      </c>
      <c r="AD54">
        <v>-1.1299999999999999E-3</v>
      </c>
      <c r="AE54">
        <v>1.57E-3</v>
      </c>
      <c r="AF54">
        <v>3.4099999999999998E-3</v>
      </c>
      <c r="AG54" s="2">
        <v>-6.9999999999999994E-5</v>
      </c>
      <c r="AH54">
        <v>-1.49E-3</v>
      </c>
      <c r="AI54" s="2">
        <v>2.0000000000000002E-5</v>
      </c>
    </row>
    <row r="55" spans="1:35" x14ac:dyDescent="0.25">
      <c r="A55" s="1">
        <v>40602</v>
      </c>
      <c r="B55">
        <v>4.1300000000000003E-2</v>
      </c>
      <c r="C55">
        <v>3.73E-2</v>
      </c>
      <c r="D55">
        <v>3.1956564052952219E-2</v>
      </c>
      <c r="E55">
        <v>2.2499999999999998E-3</v>
      </c>
      <c r="F55">
        <v>6.4999999999999997E-4</v>
      </c>
      <c r="G55">
        <v>2.8999999999999998E-3</v>
      </c>
      <c r="H55">
        <v>1.3500000000000001E-3</v>
      </c>
      <c r="I55">
        <v>1.66E-3</v>
      </c>
      <c r="J55">
        <v>4.3400000000000001E-3</v>
      </c>
      <c r="K55">
        <v>0</v>
      </c>
      <c r="L55">
        <v>7.5599999999999999E-3</v>
      </c>
      <c r="M55">
        <v>2.5000000000000001E-4</v>
      </c>
      <c r="N55">
        <v>9.5099999999999994E-3</v>
      </c>
      <c r="O55">
        <v>3.0699999999999998E-3</v>
      </c>
      <c r="P55">
        <v>6.9999999999999999E-4</v>
      </c>
      <c r="Q55">
        <v>1.1999999999999999E-3</v>
      </c>
      <c r="R55">
        <v>2.9999999999999997E-4</v>
      </c>
      <c r="S55">
        <v>0</v>
      </c>
      <c r="T55">
        <v>7.6999999999999996E-4</v>
      </c>
      <c r="U55">
        <v>-2.0699999999999998E-3</v>
      </c>
      <c r="V55">
        <v>2.2000000000000001E-4</v>
      </c>
      <c r="W55">
        <v>-1.7700000000000001E-3</v>
      </c>
      <c r="X55">
        <v>-1.7799999999999999E-3</v>
      </c>
      <c r="Y55">
        <v>2.4599999999999999E-3</v>
      </c>
      <c r="Z55">
        <v>4.8000000000000001E-4</v>
      </c>
      <c r="AA55">
        <v>0</v>
      </c>
      <c r="AB55">
        <v>0</v>
      </c>
      <c r="AC55">
        <v>4.5399999999999998E-3</v>
      </c>
      <c r="AD55">
        <v>7.2999999999999996E-4</v>
      </c>
      <c r="AE55">
        <v>-2.2200000000000002E-3</v>
      </c>
      <c r="AF55">
        <v>9.3000000000000005E-4</v>
      </c>
      <c r="AG55">
        <v>2.0000000000000001E-4</v>
      </c>
      <c r="AH55">
        <v>3.0500000000000002E-3</v>
      </c>
      <c r="AI55" s="2">
        <v>1.0000000000000001E-5</v>
      </c>
    </row>
    <row r="56" spans="1:35" x14ac:dyDescent="0.25">
      <c r="A56" s="1">
        <v>40633</v>
      </c>
      <c r="B56">
        <v>0</v>
      </c>
      <c r="C56">
        <v>-3.5999999999999999E-3</v>
      </c>
      <c r="D56">
        <v>-1.0473132038185673E-3</v>
      </c>
      <c r="E56">
        <v>-7.2999999999999996E-4</v>
      </c>
      <c r="F56">
        <v>1.1999999999999999E-3</v>
      </c>
      <c r="G56">
        <v>1.82E-3</v>
      </c>
      <c r="H56">
        <v>-2.1900000000000001E-3</v>
      </c>
      <c r="I56">
        <v>-4.2999999999999999E-4</v>
      </c>
      <c r="J56">
        <v>5.8199999999999997E-3</v>
      </c>
      <c r="K56">
        <v>0</v>
      </c>
      <c r="L56">
        <v>1.9499999999999999E-3</v>
      </c>
      <c r="M56" s="2">
        <v>-5.0000000000000002E-5</v>
      </c>
      <c r="N56">
        <v>-1.1299999999999999E-3</v>
      </c>
      <c r="O56">
        <v>-2.7899999999999999E-3</v>
      </c>
      <c r="P56">
        <v>-6.7000000000000002E-4</v>
      </c>
      <c r="Q56">
        <v>-3.8999999999999999E-4</v>
      </c>
      <c r="R56">
        <v>8.0000000000000004E-4</v>
      </c>
      <c r="S56">
        <v>0</v>
      </c>
      <c r="T56">
        <v>1.9000000000000001E-4</v>
      </c>
      <c r="U56">
        <v>-2.6099999999999999E-3</v>
      </c>
      <c r="V56">
        <v>-4.0999999999999999E-4</v>
      </c>
      <c r="W56">
        <v>2.5200000000000001E-3</v>
      </c>
      <c r="X56">
        <v>-6.2599999999999999E-3</v>
      </c>
      <c r="Y56">
        <v>1.32E-3</v>
      </c>
      <c r="Z56">
        <v>3.8999999999999999E-4</v>
      </c>
      <c r="AA56">
        <v>0</v>
      </c>
      <c r="AB56">
        <v>0</v>
      </c>
      <c r="AC56">
        <v>-1.2899999999999999E-3</v>
      </c>
      <c r="AD56">
        <v>1.83E-3</v>
      </c>
      <c r="AE56">
        <v>-3.3E-4</v>
      </c>
      <c r="AF56">
        <v>1.6100000000000001E-3</v>
      </c>
      <c r="AG56" s="2">
        <v>4.0000000000000003E-5</v>
      </c>
      <c r="AH56">
        <v>-2.0000000000000001E-4</v>
      </c>
      <c r="AI56">
        <v>0</v>
      </c>
    </row>
    <row r="57" spans="1:35" x14ac:dyDescent="0.25">
      <c r="A57" s="1">
        <v>40662</v>
      </c>
      <c r="B57">
        <v>3.0200000000000001E-2</v>
      </c>
      <c r="C57">
        <v>3.7699999999999997E-2</v>
      </c>
      <c r="D57">
        <v>2.8495380443795071E-2</v>
      </c>
      <c r="E57">
        <v>2.5999999999999998E-4</v>
      </c>
      <c r="F57">
        <v>2.64E-3</v>
      </c>
      <c r="G57">
        <v>5.4099999999999999E-3</v>
      </c>
      <c r="H57">
        <v>-2.5999999999999999E-3</v>
      </c>
      <c r="I57">
        <v>-1.39E-3</v>
      </c>
      <c r="J57">
        <v>2.8800000000000002E-3</v>
      </c>
      <c r="K57">
        <v>0</v>
      </c>
      <c r="L57">
        <v>-9.3000000000000005E-4</v>
      </c>
      <c r="M57">
        <v>2.0000000000000001E-4</v>
      </c>
      <c r="N57" s="2">
        <v>2.0000000000000002E-5</v>
      </c>
      <c r="O57">
        <v>1.34E-3</v>
      </c>
      <c r="P57">
        <v>2.0600000000000002E-3</v>
      </c>
      <c r="Q57">
        <v>-1.4999999999999999E-4</v>
      </c>
      <c r="R57">
        <v>2.9999999999999997E-4</v>
      </c>
      <c r="S57">
        <v>0</v>
      </c>
      <c r="T57">
        <v>5.5999999999999995E-4</v>
      </c>
      <c r="U57">
        <v>1.2199999999999999E-3</v>
      </c>
      <c r="V57">
        <v>2.4000000000000001E-4</v>
      </c>
      <c r="W57">
        <v>8.1999999999999998E-4</v>
      </c>
      <c r="X57">
        <v>2.82E-3</v>
      </c>
      <c r="Y57">
        <v>4.2199999999999998E-3</v>
      </c>
      <c r="Z57">
        <v>2.3000000000000001E-4</v>
      </c>
      <c r="AA57">
        <v>0</v>
      </c>
      <c r="AB57">
        <v>0</v>
      </c>
      <c r="AC57">
        <v>3.3800000000000002E-3</v>
      </c>
      <c r="AD57">
        <v>7.2000000000000005E-4</v>
      </c>
      <c r="AE57">
        <v>4.0299999999999997E-3</v>
      </c>
      <c r="AF57">
        <v>2.2200000000000002E-3</v>
      </c>
      <c r="AG57" s="2">
        <v>5.0000000000000002E-5</v>
      </c>
      <c r="AH57">
        <v>-3.2000000000000003E-4</v>
      </c>
      <c r="AI57" s="2">
        <v>1.0000000000000001E-5</v>
      </c>
    </row>
    <row r="58" spans="1:35" x14ac:dyDescent="0.25">
      <c r="A58" s="1">
        <v>40694</v>
      </c>
      <c r="B58">
        <v>-2.0500000000000001E-2</v>
      </c>
      <c r="C58">
        <v>-6.1999999999999998E-3</v>
      </c>
      <c r="D58">
        <v>-1.3500952766930641E-2</v>
      </c>
      <c r="E58">
        <v>-3.6000000000000002E-4</v>
      </c>
      <c r="F58">
        <v>1.3999999999999999E-4</v>
      </c>
      <c r="G58">
        <v>-1.14E-3</v>
      </c>
      <c r="H58">
        <v>-1.42E-3</v>
      </c>
      <c r="I58">
        <v>2.7100000000000002E-3</v>
      </c>
      <c r="J58">
        <v>-5.9300000000000004E-3</v>
      </c>
      <c r="K58">
        <v>0</v>
      </c>
      <c r="L58">
        <v>-4.8500000000000001E-3</v>
      </c>
      <c r="M58">
        <v>2.0000000000000001E-4</v>
      </c>
      <c r="N58">
        <v>-2.5899999999999999E-3</v>
      </c>
      <c r="O58">
        <v>-2.66E-3</v>
      </c>
      <c r="P58">
        <v>6.2E-4</v>
      </c>
      <c r="Q58">
        <v>-1.6100000000000001E-3</v>
      </c>
      <c r="R58">
        <v>-1.7000000000000001E-4</v>
      </c>
      <c r="S58">
        <v>0</v>
      </c>
      <c r="T58">
        <v>-3.3E-4</v>
      </c>
      <c r="U58">
        <v>-1.6900000000000001E-3</v>
      </c>
      <c r="V58" s="2">
        <v>6.9999999999999994E-5</v>
      </c>
      <c r="W58">
        <v>1.9599999999999999E-3</v>
      </c>
      <c r="X58" s="2">
        <v>6.9999999999999994E-5</v>
      </c>
      <c r="Y58">
        <v>-2.5400000000000002E-3</v>
      </c>
      <c r="Z58">
        <v>2.3000000000000001E-4</v>
      </c>
      <c r="AA58">
        <v>0</v>
      </c>
      <c r="AB58">
        <v>0</v>
      </c>
      <c r="AC58">
        <v>1.8500000000000001E-3</v>
      </c>
      <c r="AD58">
        <v>3.3E-4</v>
      </c>
      <c r="AE58">
        <v>4.4000000000000002E-4</v>
      </c>
      <c r="AF58">
        <v>-1.3999999999999999E-4</v>
      </c>
      <c r="AG58" s="2">
        <v>-6.9999999999999994E-5</v>
      </c>
      <c r="AH58">
        <v>-3.62E-3</v>
      </c>
      <c r="AI58" s="2">
        <v>-1.0000000000000001E-5</v>
      </c>
    </row>
    <row r="59" spans="1:35" x14ac:dyDescent="0.25">
      <c r="A59" s="1">
        <v>40724</v>
      </c>
      <c r="B59">
        <v>-2.0899999999999998E-2</v>
      </c>
      <c r="C59">
        <v>-1.5100000000000001E-2</v>
      </c>
      <c r="D59">
        <v>-1.825746126569705E-2</v>
      </c>
      <c r="E59">
        <v>-1.92E-3</v>
      </c>
      <c r="F59">
        <v>1.1999999999999999E-3</v>
      </c>
      <c r="G59">
        <v>-3.5899999999999999E-3</v>
      </c>
      <c r="H59">
        <v>-2.1900000000000001E-3</v>
      </c>
      <c r="I59">
        <v>-3.32E-3</v>
      </c>
      <c r="J59">
        <v>4.4000000000000002E-4</v>
      </c>
      <c r="K59">
        <v>0</v>
      </c>
      <c r="L59">
        <v>2.0600000000000002E-3</v>
      </c>
      <c r="M59" s="2">
        <v>6.0000000000000002E-5</v>
      </c>
      <c r="N59">
        <v>-4.7200000000000002E-3</v>
      </c>
      <c r="O59">
        <v>-2.16E-3</v>
      </c>
      <c r="P59">
        <v>-2.2000000000000001E-4</v>
      </c>
      <c r="Q59">
        <v>-1.6299999999999999E-3</v>
      </c>
      <c r="R59">
        <v>2.5000000000000001E-4</v>
      </c>
      <c r="S59">
        <v>0</v>
      </c>
      <c r="T59" s="2">
        <v>6.9999999999999994E-5</v>
      </c>
      <c r="U59">
        <v>2.31E-3</v>
      </c>
      <c r="V59">
        <v>1.9000000000000001E-4</v>
      </c>
      <c r="W59">
        <v>3.5500000000000002E-3</v>
      </c>
      <c r="X59">
        <v>-6.9199999999999999E-3</v>
      </c>
      <c r="Y59">
        <v>-1.4E-3</v>
      </c>
      <c r="Z59">
        <v>-2.7999999999999998E-4</v>
      </c>
      <c r="AA59">
        <v>0</v>
      </c>
      <c r="AB59">
        <v>0</v>
      </c>
      <c r="AC59">
        <v>-7.6000000000000004E-4</v>
      </c>
      <c r="AD59">
        <v>-1.1E-4</v>
      </c>
      <c r="AE59">
        <v>-1.4400000000000001E-3</v>
      </c>
      <c r="AF59">
        <v>1.42E-3</v>
      </c>
      <c r="AG59" s="2">
        <v>-4.0000000000000003E-5</v>
      </c>
      <c r="AH59">
        <v>-1.7799999999999999E-3</v>
      </c>
      <c r="AI59" s="2">
        <v>-1.0000000000000001E-5</v>
      </c>
    </row>
    <row r="60" spans="1:35" x14ac:dyDescent="0.25">
      <c r="A60" s="1">
        <v>40753</v>
      </c>
      <c r="B60">
        <v>-2.9399999999999999E-2</v>
      </c>
      <c r="C60">
        <v>-2.7699999999999999E-2</v>
      </c>
      <c r="D60">
        <v>-2.1474425791952023E-2</v>
      </c>
      <c r="E60">
        <v>8.9599999999999992E-3</v>
      </c>
      <c r="F60">
        <v>2.6700000000000001E-3</v>
      </c>
      <c r="G60">
        <v>-3.2000000000000002E-3</v>
      </c>
      <c r="H60">
        <v>-3.7599999999999999E-3</v>
      </c>
      <c r="I60">
        <v>-3.8400000000000001E-3</v>
      </c>
      <c r="J60">
        <v>-4.8199999999999996E-3</v>
      </c>
      <c r="K60">
        <v>0</v>
      </c>
      <c r="L60">
        <v>-2.5799999999999998E-3</v>
      </c>
      <c r="M60" s="2">
        <v>2.0000000000000002E-5</v>
      </c>
      <c r="N60">
        <v>-8.1999999999999998E-4</v>
      </c>
      <c r="O60">
        <v>-3.3800000000000002E-3</v>
      </c>
      <c r="P60">
        <v>-4.8999999999999998E-4</v>
      </c>
      <c r="Q60">
        <v>-1.8000000000000001E-4</v>
      </c>
      <c r="R60">
        <v>1.9000000000000001E-4</v>
      </c>
      <c r="S60">
        <v>0</v>
      </c>
      <c r="T60">
        <v>-1.14E-3</v>
      </c>
      <c r="U60">
        <v>3.14E-3</v>
      </c>
      <c r="V60" s="2">
        <v>1.0000000000000001E-5</v>
      </c>
      <c r="W60">
        <v>-7.28E-3</v>
      </c>
      <c r="X60">
        <v>-4.4600000000000004E-3</v>
      </c>
      <c r="Y60">
        <v>-2.5300000000000001E-3</v>
      </c>
      <c r="Z60">
        <v>-4.6999999999999999E-4</v>
      </c>
      <c r="AA60">
        <v>0</v>
      </c>
      <c r="AB60">
        <v>0</v>
      </c>
      <c r="AC60">
        <v>1.81E-3</v>
      </c>
      <c r="AD60">
        <v>-1.2800000000000001E-3</v>
      </c>
      <c r="AE60">
        <v>-7.3999999999999999E-4</v>
      </c>
      <c r="AF60">
        <v>-9.3999999999999997E-4</v>
      </c>
      <c r="AG60">
        <v>-2.5999999999999998E-4</v>
      </c>
      <c r="AH60">
        <v>-4.0400000000000002E-3</v>
      </c>
      <c r="AI60">
        <v>0</v>
      </c>
    </row>
    <row r="61" spans="1:35" x14ac:dyDescent="0.25">
      <c r="A61" s="1">
        <v>40786</v>
      </c>
      <c r="B61">
        <v>-5.6099999999999997E-2</v>
      </c>
      <c r="C61">
        <v>-3.1600000000000003E-2</v>
      </c>
      <c r="D61">
        <v>-5.6791107463597612E-2</v>
      </c>
      <c r="E61">
        <v>-7.9000000000000001E-4</v>
      </c>
      <c r="F61">
        <v>-9.8999999999999999E-4</v>
      </c>
      <c r="G61">
        <v>-3.0999999999999999E-3</v>
      </c>
      <c r="H61">
        <v>-5.1999999999999998E-3</v>
      </c>
      <c r="I61">
        <v>-3.82E-3</v>
      </c>
      <c r="J61">
        <v>-5.6100000000000004E-3</v>
      </c>
      <c r="K61">
        <v>0</v>
      </c>
      <c r="L61">
        <v>-4.1599999999999996E-3</v>
      </c>
      <c r="M61" s="2">
        <v>8.0000000000000007E-5</v>
      </c>
      <c r="N61">
        <v>-8.9599999999999992E-3</v>
      </c>
      <c r="O61">
        <v>-6.0000000000000001E-3</v>
      </c>
      <c r="P61">
        <v>4.6000000000000001E-4</v>
      </c>
      <c r="Q61">
        <v>-2.1900000000000001E-3</v>
      </c>
      <c r="R61">
        <v>6.4000000000000005E-4</v>
      </c>
      <c r="S61">
        <v>0</v>
      </c>
      <c r="T61">
        <v>-5.8E-4</v>
      </c>
      <c r="U61">
        <v>-1.3600000000000001E-3</v>
      </c>
      <c r="V61">
        <v>-1.1E-4</v>
      </c>
      <c r="W61">
        <v>-5.0899999999999999E-3</v>
      </c>
      <c r="X61">
        <v>-1.2700000000000001E-3</v>
      </c>
      <c r="Y61">
        <v>-5.2399999999999999E-3</v>
      </c>
      <c r="Z61" s="2">
        <v>-3.0000000000000001E-5</v>
      </c>
      <c r="AA61">
        <v>0</v>
      </c>
      <c r="AB61">
        <v>0</v>
      </c>
      <c r="AC61">
        <v>-8.9999999999999998E-4</v>
      </c>
      <c r="AD61">
        <v>-6.2E-4</v>
      </c>
      <c r="AE61">
        <v>-1.17E-3</v>
      </c>
      <c r="AF61">
        <v>-1.06E-3</v>
      </c>
      <c r="AG61">
        <v>-1E-4</v>
      </c>
      <c r="AH61">
        <v>1.06E-3</v>
      </c>
      <c r="AI61" s="2">
        <v>-1.0000000000000001E-5</v>
      </c>
    </row>
    <row r="62" spans="1:35" x14ac:dyDescent="0.25">
      <c r="A62" s="1">
        <v>40816</v>
      </c>
      <c r="B62">
        <v>-9.1200000000000003E-2</v>
      </c>
      <c r="C62">
        <v>-6.8199999999999997E-2</v>
      </c>
      <c r="D62">
        <v>-7.1761988303760127E-2</v>
      </c>
      <c r="E62">
        <v>-5.0000000000000001E-4</v>
      </c>
      <c r="F62">
        <v>1.3999999999999999E-4</v>
      </c>
      <c r="G62">
        <v>-6.4999999999999997E-3</v>
      </c>
      <c r="H62">
        <v>-8.2799999999999992E-3</v>
      </c>
      <c r="I62">
        <v>-5.6100000000000004E-3</v>
      </c>
      <c r="J62">
        <v>-1.3429999999999999E-2</v>
      </c>
      <c r="K62">
        <v>0</v>
      </c>
      <c r="L62">
        <v>-5.3299999999999997E-3</v>
      </c>
      <c r="M62">
        <v>2.2000000000000001E-4</v>
      </c>
      <c r="N62">
        <v>-8.6899999999999998E-3</v>
      </c>
      <c r="O62">
        <v>-3.8700000000000002E-3</v>
      </c>
      <c r="P62">
        <v>-6.0999999999999997E-4</v>
      </c>
      <c r="Q62">
        <v>-6.0800000000000003E-3</v>
      </c>
      <c r="R62">
        <v>-6.0999999999999997E-4</v>
      </c>
      <c r="S62">
        <v>0</v>
      </c>
      <c r="T62">
        <v>-1.89E-3</v>
      </c>
      <c r="U62">
        <v>-3.7499999999999999E-3</v>
      </c>
      <c r="V62" s="2">
        <v>-3.0000000000000001E-5</v>
      </c>
      <c r="W62">
        <v>-2.5600000000000002E-3</v>
      </c>
      <c r="X62">
        <v>-2.0300000000000001E-3</v>
      </c>
      <c r="Y62">
        <v>-7.6699999999999997E-3</v>
      </c>
      <c r="Z62">
        <v>-4.8999999999999998E-4</v>
      </c>
      <c r="AA62">
        <v>0</v>
      </c>
      <c r="AB62">
        <v>0</v>
      </c>
      <c r="AC62">
        <v>-3.14E-3</v>
      </c>
      <c r="AD62" s="2">
        <v>3.0000000000000001E-5</v>
      </c>
      <c r="AE62">
        <v>-1.6800000000000001E-3</v>
      </c>
      <c r="AF62">
        <v>-6.4999999999999997E-4</v>
      </c>
      <c r="AG62">
        <v>-3.3E-4</v>
      </c>
      <c r="AH62">
        <v>-7.8300000000000002E-3</v>
      </c>
      <c r="AI62">
        <v>0</v>
      </c>
    </row>
    <row r="63" spans="1:35" x14ac:dyDescent="0.25">
      <c r="A63" s="1">
        <v>40847</v>
      </c>
      <c r="B63">
        <v>0.1211</v>
      </c>
      <c r="C63">
        <v>9.5100000000000004E-2</v>
      </c>
      <c r="D63">
        <v>0.10772303853581011</v>
      </c>
      <c r="E63">
        <v>3.3800000000000002E-3</v>
      </c>
      <c r="F63">
        <v>-3.8000000000000002E-4</v>
      </c>
      <c r="G63">
        <v>5.9699999999999996E-3</v>
      </c>
      <c r="H63">
        <v>3.8300000000000001E-3</v>
      </c>
      <c r="I63">
        <v>3.65E-3</v>
      </c>
      <c r="J63">
        <v>2.0330000000000001E-2</v>
      </c>
      <c r="K63">
        <v>0</v>
      </c>
      <c r="L63">
        <v>8.43E-3</v>
      </c>
      <c r="M63" s="2">
        <v>8.0000000000000007E-5</v>
      </c>
      <c r="N63">
        <v>1.188E-2</v>
      </c>
      <c r="O63">
        <v>6.5799999999999999E-3</v>
      </c>
      <c r="P63">
        <v>2.1000000000000001E-4</v>
      </c>
      <c r="Q63">
        <v>4.9800000000000001E-3</v>
      </c>
      <c r="R63">
        <v>2.0000000000000001E-4</v>
      </c>
      <c r="S63">
        <v>0</v>
      </c>
      <c r="T63">
        <v>1.41E-3</v>
      </c>
      <c r="U63">
        <v>4.0800000000000003E-3</v>
      </c>
      <c r="V63">
        <v>3.5E-4</v>
      </c>
      <c r="W63">
        <v>6.11E-3</v>
      </c>
      <c r="X63">
        <v>6.1900000000000002E-3</v>
      </c>
      <c r="Y63">
        <v>1.349E-2</v>
      </c>
      <c r="Z63">
        <v>6.3000000000000003E-4</v>
      </c>
      <c r="AA63">
        <v>0</v>
      </c>
      <c r="AB63">
        <v>0</v>
      </c>
      <c r="AC63">
        <v>8.2400000000000008E-3</v>
      </c>
      <c r="AD63">
        <v>1E-3</v>
      </c>
      <c r="AE63">
        <v>3.8700000000000002E-3</v>
      </c>
      <c r="AF63">
        <v>1.01E-3</v>
      </c>
      <c r="AG63">
        <v>5.8E-4</v>
      </c>
      <c r="AH63">
        <v>4.9699999999999996E-3</v>
      </c>
      <c r="AI63" s="2">
        <v>2.0000000000000002E-5</v>
      </c>
    </row>
    <row r="64" spans="1:35" x14ac:dyDescent="0.25">
      <c r="A64" s="1">
        <v>40877</v>
      </c>
      <c r="B64">
        <v>6.9999999999999999E-4</v>
      </c>
      <c r="C64">
        <v>2.8999999999999998E-3</v>
      </c>
      <c r="D64">
        <v>-5.0587151935872487E-3</v>
      </c>
      <c r="E64">
        <v>-3.0599999999999998E-3</v>
      </c>
      <c r="F64">
        <v>-3.0100000000000001E-3</v>
      </c>
      <c r="G64">
        <v>3.4499999999999999E-3</v>
      </c>
      <c r="H64">
        <v>-6.6699999999999997E-3</v>
      </c>
      <c r="I64">
        <v>4.9899999999999996E-3</v>
      </c>
      <c r="J64">
        <v>2.5799999999999998E-3</v>
      </c>
      <c r="K64">
        <v>0</v>
      </c>
      <c r="L64">
        <v>1.83E-3</v>
      </c>
      <c r="M64" s="2">
        <v>5.0000000000000002E-5</v>
      </c>
      <c r="N64">
        <v>2.1099999999999999E-3</v>
      </c>
      <c r="O64">
        <v>-3.2200000000000002E-3</v>
      </c>
      <c r="P64">
        <v>2.5999999999999998E-4</v>
      </c>
      <c r="Q64">
        <v>-3.3500000000000001E-3</v>
      </c>
      <c r="R64">
        <v>-1.6000000000000001E-4</v>
      </c>
      <c r="S64">
        <v>0</v>
      </c>
      <c r="T64">
        <v>4.6000000000000001E-4</v>
      </c>
      <c r="U64">
        <v>-1.8600000000000001E-3</v>
      </c>
      <c r="V64">
        <v>0</v>
      </c>
      <c r="W64">
        <v>-1.8000000000000001E-4</v>
      </c>
      <c r="X64">
        <v>1.9E-3</v>
      </c>
      <c r="Y64">
        <v>2.8900000000000002E-3</v>
      </c>
      <c r="Z64">
        <v>3.6999999999999999E-4</v>
      </c>
      <c r="AA64">
        <v>0</v>
      </c>
      <c r="AB64">
        <v>0</v>
      </c>
      <c r="AC64">
        <v>-1.2199999999999999E-3</v>
      </c>
      <c r="AD64">
        <v>-2.5999999999999998E-4</v>
      </c>
      <c r="AE64">
        <v>8.8000000000000003E-4</v>
      </c>
      <c r="AF64">
        <v>4.0000000000000002E-4</v>
      </c>
      <c r="AG64">
        <v>1.4999999999999999E-4</v>
      </c>
      <c r="AH64">
        <v>1.3600000000000001E-3</v>
      </c>
      <c r="AI64" s="2">
        <v>1.0000000000000001E-5</v>
      </c>
    </row>
    <row r="65" spans="1:35" x14ac:dyDescent="0.25">
      <c r="A65" s="1">
        <v>40907</v>
      </c>
      <c r="B65">
        <v>3.0599999999999999E-2</v>
      </c>
      <c r="C65">
        <v>2.98E-2</v>
      </c>
      <c r="D65">
        <v>8.532763948144062E-3</v>
      </c>
      <c r="E65">
        <v>3.2799999999999999E-3</v>
      </c>
      <c r="F65">
        <v>-3.0200000000000001E-3</v>
      </c>
      <c r="G65">
        <v>4.64E-3</v>
      </c>
      <c r="H65">
        <v>7.2999999999999996E-4</v>
      </c>
      <c r="I65">
        <v>2.4299999999999999E-3</v>
      </c>
      <c r="J65">
        <v>-5.3E-3</v>
      </c>
      <c r="K65">
        <v>0</v>
      </c>
      <c r="L65">
        <v>1.66E-3</v>
      </c>
      <c r="M65">
        <v>1.4999999999999999E-4</v>
      </c>
      <c r="N65">
        <v>4.7600000000000003E-3</v>
      </c>
      <c r="O65">
        <v>9.1699999999999993E-3</v>
      </c>
      <c r="P65">
        <v>2.5000000000000001E-4</v>
      </c>
      <c r="Q65">
        <v>2.2599999999999999E-3</v>
      </c>
      <c r="R65">
        <v>7.2999999999999996E-4</v>
      </c>
      <c r="S65">
        <v>0</v>
      </c>
      <c r="T65">
        <v>1.2E-4</v>
      </c>
      <c r="U65">
        <v>8.7000000000000001E-4</v>
      </c>
      <c r="V65" s="2">
        <v>2.0000000000000002E-5</v>
      </c>
      <c r="W65">
        <v>1.41E-3</v>
      </c>
      <c r="X65">
        <v>-3.8300000000000001E-3</v>
      </c>
      <c r="Y65">
        <v>-2.16E-3</v>
      </c>
      <c r="Z65">
        <v>5.5999999999999995E-4</v>
      </c>
      <c r="AA65">
        <v>0</v>
      </c>
      <c r="AB65">
        <v>0</v>
      </c>
      <c r="AC65">
        <v>1.9E-3</v>
      </c>
      <c r="AD65">
        <v>1.01E-3</v>
      </c>
      <c r="AE65" s="2">
        <v>-3.0000000000000001E-5</v>
      </c>
      <c r="AF65">
        <v>1.06E-3</v>
      </c>
      <c r="AG65">
        <v>1E-4</v>
      </c>
      <c r="AH65">
        <v>7.8200000000000006E-3</v>
      </c>
      <c r="AI65" s="2">
        <v>1.0000000000000001E-5</v>
      </c>
    </row>
    <row r="66" spans="1:35" x14ac:dyDescent="0.25">
      <c r="A66" s="10">
        <f>YEAR(A65)</f>
        <v>2011</v>
      </c>
      <c r="B66" s="5" cm="1">
        <f t="array" ref="B66">PRODUCT(1+B54:B65)-1</f>
        <v>4.0691364491577842E-2</v>
      </c>
      <c r="C66" s="5" cm="1">
        <f t="array" ref="C66">PRODUCT(1+C54:C65)-1</f>
        <v>7.7848105808553836E-2</v>
      </c>
      <c r="D66" s="5" cm="1">
        <f t="array" ref="D66">PRODUCT(1+D54:D65)-1</f>
        <v>-3.1836614231783855E-5</v>
      </c>
      <c r="E66" s="5" cm="1">
        <f t="array" ref="E66">PRODUCT(1+E54:E65)-1</f>
        <v>1.3647397177590781E-2</v>
      </c>
      <c r="F66" s="5" cm="1">
        <f t="array" ref="F66">PRODUCT(1+F54:F65)-1</f>
        <v>-5.1975799471992712E-4</v>
      </c>
      <c r="G66" s="5" cm="1">
        <f t="array" ref="G66">PRODUCT(1+G54:G65)-1</f>
        <v>1.1037605986936372E-2</v>
      </c>
      <c r="H66" s="5" cm="1">
        <f t="array" ref="H66">PRODUCT(1+H54:H65)-1</f>
        <v>-2.5212341892336676E-2</v>
      </c>
      <c r="I66" s="5" cm="1">
        <f t="array" ref="I66">PRODUCT(1+I54:I65)-1</f>
        <v>-8.8604299506755968E-4</v>
      </c>
      <c r="J66" s="5" cm="1">
        <f t="array" ref="J66">PRODUCT(1+J54:J65)-1</f>
        <v>3.7951345458684393E-3</v>
      </c>
      <c r="K66" s="5" cm="1">
        <f t="array" ref="K66">PRODUCT(1+K54:K65)-1</f>
        <v>0</v>
      </c>
      <c r="L66" s="5" cm="1">
        <f t="array" ref="L66">PRODUCT(1+L54:L65)-1</f>
        <v>9.3368987375606061E-3</v>
      </c>
      <c r="M66" s="5" cm="1">
        <f t="array" ref="M66">PRODUCT(1+M54:M65)-1</f>
        <v>1.3608024685283215E-3</v>
      </c>
      <c r="N66" s="5" cm="1">
        <f t="array" ref="N66">PRODUCT(1+N54:N65)-1</f>
        <v>3.9014820130953698E-3</v>
      </c>
      <c r="O66" s="5" cm="1">
        <f t="array" ref="O66">PRODUCT(1+O54:O65)-1</f>
        <v>2.7455234750510815E-3</v>
      </c>
      <c r="P66" s="5" cm="1">
        <f t="array" ref="P66">PRODUCT(1+P54:P65)-1</f>
        <v>1.9283482702774357E-3</v>
      </c>
      <c r="Q66" s="5" cm="1">
        <f t="array" ref="Q66">PRODUCT(1+Q54:Q65)-1</f>
        <v>-5.3125093632152565E-3</v>
      </c>
      <c r="R66" s="5" cm="1">
        <f t="array" ref="R66">PRODUCT(1+R54:R65)-1</f>
        <v>1.6799337829076499E-3</v>
      </c>
      <c r="S66" s="5" cm="1">
        <f t="array" ref="S66">PRODUCT(1+S54:S65)-1</f>
        <v>0</v>
      </c>
      <c r="T66" s="5" cm="1">
        <f t="array" ref="T66">PRODUCT(1+T54:T65)-1</f>
        <v>-1.0426930322338102E-4</v>
      </c>
      <c r="U66" s="5" cm="1">
        <f t="array" ref="U66">PRODUCT(1+U54:U65)-1</f>
        <v>-2.1414792582516995E-3</v>
      </c>
      <c r="V66" s="5" cm="1">
        <f t="array" ref="V66">PRODUCT(1+V54:V65)-1</f>
        <v>4.4987061252577121E-4</v>
      </c>
      <c r="W66" s="5" cm="1">
        <f t="array" ref="W66">PRODUCT(1+W54:W65)-1</f>
        <v>3.3920531475641891E-3</v>
      </c>
      <c r="X66" s="5" cm="1">
        <f t="array" ref="X66">PRODUCT(1+X54:X65)-1</f>
        <v>2.8710495883728093E-3</v>
      </c>
      <c r="Y66" s="5" cm="1">
        <f t="array" ref="Y66">PRODUCT(1+Y54:Y65)-1</f>
        <v>2.0316342819506339E-3</v>
      </c>
      <c r="Z66" s="5" cm="1">
        <f t="array" ref="Z66">PRODUCT(1+Z54:Z65)-1</f>
        <v>1.9108434393311224E-3</v>
      </c>
      <c r="AA66" s="5" cm="1">
        <f t="array" ref="AA66">PRODUCT(1+AA54:AA65)-1</f>
        <v>0</v>
      </c>
      <c r="AB66" s="5" cm="1">
        <f t="array" ref="AB66">PRODUCT(1+AB54:AB65)-1</f>
        <v>0</v>
      </c>
      <c r="AC66" s="5" cm="1">
        <f t="array" ref="AC66">PRODUCT(1+AC54:AC65)-1</f>
        <v>1.543534562720672E-2</v>
      </c>
      <c r="AD66" s="5" cm="1">
        <f t="array" ref="AD66">PRODUCT(1+AD54:AD65)-1</f>
        <v>2.2475689702674551E-3</v>
      </c>
      <c r="AE66" s="5" cm="1">
        <f t="array" ref="AE66">PRODUCT(1+AE54:AE65)-1</f>
        <v>3.1617728386124089E-3</v>
      </c>
      <c r="AF66" s="5" cm="1">
        <f t="array" ref="AF66">PRODUCT(1+AF54:AF65)-1</f>
        <v>9.299603059459205E-3</v>
      </c>
      <c r="AG66" s="5" cm="1">
        <f t="array" ref="AG66">PRODUCT(1+AG54:AG65)-1</f>
        <v>2.4972577706328103E-4</v>
      </c>
      <c r="AH66" s="5" cm="1">
        <f t="array" ref="AH66">PRODUCT(1+AH54:AH65)-1</f>
        <v>-1.116565525994484E-3</v>
      </c>
      <c r="AI66" s="5" cm="1">
        <f t="array" ref="AI66">PRODUCT(1+AI54:AI65)-1</f>
        <v>5.00004999892667E-5</v>
      </c>
    </row>
    <row r="67" spans="1:35" x14ac:dyDescent="0.25">
      <c r="A67" s="1">
        <v>40939</v>
      </c>
      <c r="B67">
        <v>-2.1100000000000001E-2</v>
      </c>
      <c r="C67">
        <v>4.5999999999999999E-2</v>
      </c>
      <c r="D67">
        <v>4.3583062218506274E-2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-1.1800000000000001E-3</v>
      </c>
      <c r="L67">
        <v>0</v>
      </c>
      <c r="M67">
        <v>-5.7299999999999999E-3</v>
      </c>
      <c r="N67">
        <v>0</v>
      </c>
      <c r="O67">
        <v>0</v>
      </c>
      <c r="P67">
        <v>5.0000000000000001E-4</v>
      </c>
      <c r="Q67">
        <v>0</v>
      </c>
      <c r="R67">
        <v>-3.49E-3</v>
      </c>
      <c r="S67">
        <v>-1.2800000000000001E-3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-1.1100000000000001E-3</v>
      </c>
      <c r="AA67">
        <v>-4.7099999999999998E-3</v>
      </c>
      <c r="AB67">
        <v>-1.58E-3</v>
      </c>
      <c r="AC67">
        <v>0</v>
      </c>
      <c r="AD67">
        <v>-1.2899999999999999E-3</v>
      </c>
      <c r="AE67">
        <v>0</v>
      </c>
      <c r="AF67">
        <v>0</v>
      </c>
      <c r="AG67">
        <v>0</v>
      </c>
      <c r="AH67">
        <v>0</v>
      </c>
      <c r="AI67">
        <v>-1.1999999999999999E-3</v>
      </c>
    </row>
    <row r="68" spans="1:35" x14ac:dyDescent="0.25">
      <c r="A68" s="1">
        <v>40968</v>
      </c>
      <c r="B68">
        <v>2.1499999999999998E-2</v>
      </c>
      <c r="C68">
        <v>4.1799999999999997E-2</v>
      </c>
      <c r="D68">
        <v>4.0589464130841746E-2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2.7100000000000002E-3</v>
      </c>
      <c r="L68">
        <v>0</v>
      </c>
      <c r="M68">
        <v>1.91E-3</v>
      </c>
      <c r="N68">
        <v>0</v>
      </c>
      <c r="O68">
        <v>0</v>
      </c>
      <c r="P68">
        <v>-3.8999999999999999E-4</v>
      </c>
      <c r="Q68">
        <v>0</v>
      </c>
      <c r="R68">
        <v>3.4499999999999999E-3</v>
      </c>
      <c r="S68">
        <v>9.3999999999999997E-4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-2.5999999999999998E-4</v>
      </c>
      <c r="AA68">
        <v>7.2700000000000004E-3</v>
      </c>
      <c r="AB68">
        <v>-1.97E-3</v>
      </c>
      <c r="AC68">
        <v>0</v>
      </c>
      <c r="AD68">
        <v>4.0099999999999997E-3</v>
      </c>
      <c r="AE68">
        <v>0</v>
      </c>
      <c r="AF68">
        <v>0</v>
      </c>
      <c r="AG68">
        <v>0</v>
      </c>
      <c r="AH68">
        <v>0</v>
      </c>
      <c r="AI68">
        <v>3.8600000000000001E-3</v>
      </c>
    </row>
    <row r="69" spans="1:35" x14ac:dyDescent="0.25">
      <c r="A69" s="1">
        <v>40998</v>
      </c>
      <c r="B69">
        <v>2.3900000000000001E-2</v>
      </c>
      <c r="C69">
        <v>3.5099999999999999E-2</v>
      </c>
      <c r="D69">
        <v>3.1332314530530647E-2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4.9399999999999999E-3</v>
      </c>
      <c r="L69">
        <v>0</v>
      </c>
      <c r="M69">
        <v>1.47E-3</v>
      </c>
      <c r="N69">
        <v>0</v>
      </c>
      <c r="O69">
        <v>0</v>
      </c>
      <c r="P69">
        <v>1.3500000000000001E-3</v>
      </c>
      <c r="Q69">
        <v>0</v>
      </c>
      <c r="R69">
        <v>6.6699999999999997E-3</v>
      </c>
      <c r="S69">
        <v>-1.1900000000000001E-3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7.1999999999999998E-3</v>
      </c>
      <c r="AA69">
        <v>-6.0999999999999997E-4</v>
      </c>
      <c r="AB69">
        <v>1.67E-3</v>
      </c>
      <c r="AC69">
        <v>0</v>
      </c>
      <c r="AD69">
        <v>2.0899999999999998E-3</v>
      </c>
      <c r="AE69">
        <v>0</v>
      </c>
      <c r="AF69">
        <v>0</v>
      </c>
      <c r="AG69">
        <v>0</v>
      </c>
      <c r="AH69">
        <v>0</v>
      </c>
      <c r="AI69">
        <v>2.7E-4</v>
      </c>
    </row>
    <row r="70" spans="1:35" x14ac:dyDescent="0.25">
      <c r="A70" s="1">
        <v>41029</v>
      </c>
      <c r="B70">
        <v>1.01E-2</v>
      </c>
      <c r="C70">
        <v>-8.8999999999999999E-3</v>
      </c>
      <c r="D70">
        <v>-7.4974527092703802E-3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1.82E-3</v>
      </c>
      <c r="L70">
        <v>0</v>
      </c>
      <c r="M70">
        <v>1.91E-3</v>
      </c>
      <c r="N70">
        <v>0</v>
      </c>
      <c r="O70">
        <v>0</v>
      </c>
      <c r="P70">
        <v>-1.2999999999999999E-3</v>
      </c>
      <c r="Q70">
        <v>0</v>
      </c>
      <c r="R70">
        <v>3.1199999999999999E-3</v>
      </c>
      <c r="S70">
        <v>-6.6E-4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1.1299999999999999E-3</v>
      </c>
      <c r="AA70">
        <v>-4.4799999999999996E-3</v>
      </c>
      <c r="AB70">
        <v>2.2499999999999998E-3</v>
      </c>
      <c r="AC70">
        <v>0</v>
      </c>
      <c r="AD70">
        <v>6.79E-3</v>
      </c>
      <c r="AE70">
        <v>0</v>
      </c>
      <c r="AF70">
        <v>0</v>
      </c>
      <c r="AG70">
        <v>0</v>
      </c>
      <c r="AH70">
        <v>0</v>
      </c>
      <c r="AI70">
        <v>-4.4999999999999999E-4</v>
      </c>
    </row>
    <row r="71" spans="1:35" x14ac:dyDescent="0.25">
      <c r="A71" s="1">
        <v>41060</v>
      </c>
      <c r="B71">
        <v>-2.18E-2</v>
      </c>
      <c r="C71">
        <v>-5.7500000000000002E-2</v>
      </c>
      <c r="D71">
        <v>-6.265072563317764E-2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-6.4999999999999997E-4</v>
      </c>
      <c r="L71">
        <v>0</v>
      </c>
      <c r="M71">
        <v>7.6000000000000004E-4</v>
      </c>
      <c r="N71">
        <v>0</v>
      </c>
      <c r="O71">
        <v>0</v>
      </c>
      <c r="P71">
        <v>-3.16E-3</v>
      </c>
      <c r="Q71">
        <v>0</v>
      </c>
      <c r="R71">
        <v>-2.0799999999999998E-3</v>
      </c>
      <c r="S71">
        <v>-7.6E-3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-3.5400000000000002E-3</v>
      </c>
      <c r="AA71">
        <v>-2.1199999999999999E-3</v>
      </c>
      <c r="AB71">
        <v>1E-3</v>
      </c>
      <c r="AC71">
        <v>0</v>
      </c>
      <c r="AD71">
        <v>3.8300000000000001E-3</v>
      </c>
      <c r="AE71">
        <v>0</v>
      </c>
      <c r="AF71">
        <v>0</v>
      </c>
      <c r="AG71">
        <v>0</v>
      </c>
      <c r="AH71">
        <v>0</v>
      </c>
      <c r="AI71">
        <v>-8.2699999999999996E-3</v>
      </c>
    </row>
    <row r="72" spans="1:35" x14ac:dyDescent="0.25">
      <c r="A72" s="1">
        <v>41089</v>
      </c>
      <c r="B72">
        <v>3.9800000000000002E-2</v>
      </c>
      <c r="C72">
        <v>4.7500000000000001E-2</v>
      </c>
      <c r="D72">
        <v>3.9554982134591521E-2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5.8999999999999999E-3</v>
      </c>
      <c r="L72">
        <v>0</v>
      </c>
      <c r="M72">
        <v>3.7299999999999998E-3</v>
      </c>
      <c r="N72">
        <v>0</v>
      </c>
      <c r="O72">
        <v>0</v>
      </c>
      <c r="P72">
        <v>8.2199999999999999E-3</v>
      </c>
      <c r="Q72">
        <v>0</v>
      </c>
      <c r="R72">
        <v>5.3099999999999996E-3</v>
      </c>
      <c r="S72">
        <v>-9.1E-4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5.1700000000000001E-3</v>
      </c>
      <c r="AA72">
        <v>-1.67E-3</v>
      </c>
      <c r="AB72">
        <v>8.4999999999999995E-4</v>
      </c>
      <c r="AC72">
        <v>0</v>
      </c>
      <c r="AD72">
        <v>4.3600000000000002E-3</v>
      </c>
      <c r="AE72">
        <v>0</v>
      </c>
      <c r="AF72">
        <v>0</v>
      </c>
      <c r="AG72">
        <v>0</v>
      </c>
      <c r="AH72">
        <v>0</v>
      </c>
      <c r="AI72">
        <v>8.8299999999999993E-3</v>
      </c>
    </row>
    <row r="73" spans="1:35" x14ac:dyDescent="0.25">
      <c r="A73" s="1">
        <v>41121</v>
      </c>
      <c r="B73">
        <v>3.49E-2</v>
      </c>
      <c r="C73">
        <v>8.8000000000000005E-3</v>
      </c>
      <c r="D73">
        <v>1.2597574126154365E-2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3.7299999999999998E-3</v>
      </c>
      <c r="L73">
        <v>0</v>
      </c>
      <c r="M73">
        <v>5.6999999999999998E-4</v>
      </c>
      <c r="N73">
        <v>0</v>
      </c>
      <c r="O73">
        <v>0</v>
      </c>
      <c r="P73">
        <v>2.4599999999999999E-3</v>
      </c>
      <c r="Q73">
        <v>0</v>
      </c>
      <c r="R73">
        <v>3.3400000000000001E-3</v>
      </c>
      <c r="S73">
        <v>9.3999999999999997E-4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4.5199999999999997E-3</v>
      </c>
      <c r="AA73">
        <v>6.2899999999999996E-3</v>
      </c>
      <c r="AB73">
        <v>4.0000000000000001E-3</v>
      </c>
      <c r="AC73">
        <v>0</v>
      </c>
      <c r="AD73">
        <v>7.5700000000000003E-3</v>
      </c>
      <c r="AE73">
        <v>0</v>
      </c>
      <c r="AF73">
        <v>0</v>
      </c>
      <c r="AG73">
        <v>0</v>
      </c>
      <c r="AH73">
        <v>0</v>
      </c>
      <c r="AI73">
        <v>1.5E-3</v>
      </c>
    </row>
    <row r="74" spans="1:35" x14ac:dyDescent="0.25">
      <c r="A74" s="1">
        <v>41152</v>
      </c>
      <c r="B74">
        <v>-1.43E-2</v>
      </c>
      <c r="C74">
        <v>1.4999999999999999E-2</v>
      </c>
      <c r="D74">
        <v>1.9763369680148246E-2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-9.7999999999999997E-4</v>
      </c>
      <c r="L74">
        <v>0</v>
      </c>
      <c r="M74">
        <v>-2.3999999999999998E-3</v>
      </c>
      <c r="N74">
        <v>0</v>
      </c>
      <c r="O74">
        <v>0</v>
      </c>
      <c r="P74">
        <v>-1.6999999999999999E-3</v>
      </c>
      <c r="Q74">
        <v>0</v>
      </c>
      <c r="R74">
        <v>-7.43E-3</v>
      </c>
      <c r="S74">
        <v>9.3000000000000005E-4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1.7000000000000001E-4</v>
      </c>
      <c r="AA74">
        <v>4.1099999999999999E-3</v>
      </c>
      <c r="AB74">
        <v>-4.8399999999999997E-3</v>
      </c>
      <c r="AC74">
        <v>0</v>
      </c>
      <c r="AD74">
        <v>-3.3800000000000002E-3</v>
      </c>
      <c r="AE74">
        <v>0</v>
      </c>
      <c r="AF74">
        <v>0</v>
      </c>
      <c r="AG74">
        <v>0</v>
      </c>
      <c r="AH74">
        <v>0</v>
      </c>
      <c r="AI74">
        <v>1.17E-3</v>
      </c>
    </row>
    <row r="75" spans="1:35" x14ac:dyDescent="0.25">
      <c r="A75" s="1">
        <v>41180</v>
      </c>
      <c r="B75">
        <v>2.53E-2</v>
      </c>
      <c r="C75">
        <v>2.52E-2</v>
      </c>
      <c r="D75">
        <v>2.4236153696477025E-2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8.5999999999999998E-4</v>
      </c>
      <c r="L75">
        <v>0</v>
      </c>
      <c r="M75">
        <v>8.8000000000000003E-4</v>
      </c>
      <c r="N75">
        <v>0</v>
      </c>
      <c r="O75">
        <v>0</v>
      </c>
      <c r="P75">
        <v>2.1900000000000001E-3</v>
      </c>
      <c r="Q75">
        <v>0</v>
      </c>
      <c r="R75">
        <v>2.0999999999999999E-3</v>
      </c>
      <c r="S75">
        <v>2.5300000000000001E-3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4.15E-3</v>
      </c>
      <c r="AA75">
        <v>3.2299999999999998E-3</v>
      </c>
      <c r="AB75">
        <v>1.6800000000000001E-3</v>
      </c>
      <c r="AC75">
        <v>0</v>
      </c>
      <c r="AD75">
        <v>2.8900000000000002E-3</v>
      </c>
      <c r="AE75">
        <v>0</v>
      </c>
      <c r="AF75">
        <v>0</v>
      </c>
      <c r="AG75">
        <v>0</v>
      </c>
      <c r="AH75">
        <v>0</v>
      </c>
      <c r="AI75">
        <v>4.7499999999999999E-3</v>
      </c>
    </row>
    <row r="76" spans="1:35" x14ac:dyDescent="0.25">
      <c r="A76" s="1">
        <v>41213</v>
      </c>
      <c r="B76">
        <v>-1.15E-2</v>
      </c>
      <c r="C76">
        <v>-1.6899999999999998E-2</v>
      </c>
      <c r="D76">
        <v>-1.9789409878227415E-2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-1.5299999999999999E-3</v>
      </c>
      <c r="L76">
        <v>0</v>
      </c>
      <c r="M76">
        <v>-2.9999999999999997E-4</v>
      </c>
      <c r="N76">
        <v>0</v>
      </c>
      <c r="O76">
        <v>0</v>
      </c>
      <c r="P76">
        <v>2.7699999999999999E-3</v>
      </c>
      <c r="Q76">
        <v>0</v>
      </c>
      <c r="R76">
        <v>-1.98E-3</v>
      </c>
      <c r="S76">
        <v>-5.4000000000000003E-3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 s="2">
        <v>8.0000000000000007E-5</v>
      </c>
      <c r="AA76">
        <v>6.4000000000000005E-4</v>
      </c>
      <c r="AB76">
        <v>1.6299999999999999E-3</v>
      </c>
      <c r="AC76">
        <v>0</v>
      </c>
      <c r="AD76">
        <v>-7.0800000000000004E-3</v>
      </c>
      <c r="AE76">
        <v>0</v>
      </c>
      <c r="AF76">
        <v>0</v>
      </c>
      <c r="AG76">
        <v>0</v>
      </c>
      <c r="AH76">
        <v>0</v>
      </c>
      <c r="AI76">
        <v>-3.1E-4</v>
      </c>
    </row>
    <row r="77" spans="1:35" x14ac:dyDescent="0.25">
      <c r="A77" s="1">
        <v>41243</v>
      </c>
      <c r="B77">
        <v>-3.3E-3</v>
      </c>
      <c r="C77">
        <v>1.29E-2</v>
      </c>
      <c r="D77">
        <v>2.8467170173434031E-3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3.3700000000000002E-3</v>
      </c>
      <c r="L77">
        <v>0</v>
      </c>
      <c r="M77">
        <v>-2.16E-3</v>
      </c>
      <c r="N77">
        <v>0</v>
      </c>
      <c r="O77">
        <v>0</v>
      </c>
      <c r="P77">
        <v>-6.8000000000000005E-4</v>
      </c>
      <c r="Q77">
        <v>0</v>
      </c>
      <c r="R77">
        <v>2.6800000000000001E-3</v>
      </c>
      <c r="S77">
        <v>1.16E-3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1.49E-3</v>
      </c>
      <c r="AA77">
        <v>8.4999999999999995E-4</v>
      </c>
      <c r="AB77">
        <v>-5.9800000000000001E-3</v>
      </c>
      <c r="AC77">
        <v>0</v>
      </c>
      <c r="AD77">
        <v>-1.33E-3</v>
      </c>
      <c r="AE77">
        <v>0</v>
      </c>
      <c r="AF77">
        <v>0</v>
      </c>
      <c r="AG77">
        <v>0</v>
      </c>
      <c r="AH77">
        <v>0</v>
      </c>
      <c r="AI77">
        <v>-2.7000000000000001E-3</v>
      </c>
    </row>
    <row r="78" spans="1:35" x14ac:dyDescent="0.25">
      <c r="A78" s="1">
        <v>41274</v>
      </c>
      <c r="B78">
        <v>-1.21E-2</v>
      </c>
      <c r="C78">
        <v>1.1900000000000001E-2</v>
      </c>
      <c r="D78">
        <v>7.068230463864511E-3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-3.65E-3</v>
      </c>
      <c r="L78">
        <v>0</v>
      </c>
      <c r="M78">
        <v>1.3500000000000001E-3</v>
      </c>
      <c r="N78">
        <v>0</v>
      </c>
      <c r="O78">
        <v>0</v>
      </c>
      <c r="P78">
        <v>5.2999999999999998E-4</v>
      </c>
      <c r="Q78">
        <v>0</v>
      </c>
      <c r="R78">
        <v>-4.4000000000000003E-3</v>
      </c>
      <c r="S78">
        <v>1.34E-3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2.4000000000000001E-4</v>
      </c>
      <c r="AA78">
        <v>-2.7799999999999999E-3</v>
      </c>
      <c r="AB78">
        <v>-1.6999999999999999E-3</v>
      </c>
      <c r="AC78">
        <v>0</v>
      </c>
      <c r="AD78">
        <v>-1.23E-3</v>
      </c>
      <c r="AE78">
        <v>0</v>
      </c>
      <c r="AF78">
        <v>0</v>
      </c>
      <c r="AG78">
        <v>0</v>
      </c>
      <c r="AH78">
        <v>0</v>
      </c>
      <c r="AI78">
        <v>-1.8E-3</v>
      </c>
    </row>
    <row r="79" spans="1:35" x14ac:dyDescent="0.25">
      <c r="A79" s="10">
        <f>YEAR(A78)</f>
        <v>2012</v>
      </c>
      <c r="B79" s="5" cm="1">
        <f t="array" ref="B79">PRODUCT(1+B67:B78)-1</f>
        <v>7.083930465187005E-2</v>
      </c>
      <c r="C79" s="5" cm="1">
        <f t="array" ref="C79">PRODUCT(1+C67:C78)-1</f>
        <v>0.16743521480358581</v>
      </c>
      <c r="D79" s="5" cm="1">
        <f t="array" ref="D79">PRODUCT(1+D67:D78)-1</f>
        <v>0.13405690856978847</v>
      </c>
      <c r="E79" s="5" cm="1">
        <f t="array" ref="E79">PRODUCT(1+E67:E78)-1</f>
        <v>0</v>
      </c>
      <c r="F79" s="5" cm="1">
        <f t="array" ref="F79">PRODUCT(1+F67:F78)-1</f>
        <v>0</v>
      </c>
      <c r="G79" s="5" cm="1">
        <f t="array" ref="G79">PRODUCT(1+G67:G78)-1</f>
        <v>0</v>
      </c>
      <c r="H79" s="5" cm="1">
        <f t="array" ref="H79">PRODUCT(1+H67:H78)-1</f>
        <v>0</v>
      </c>
      <c r="I79" s="5" cm="1">
        <f t="array" ref="I79">PRODUCT(1+I67:I78)-1</f>
        <v>0</v>
      </c>
      <c r="J79" s="5" cm="1">
        <f t="array" ref="J79">PRODUCT(1+J67:J78)-1</f>
        <v>0</v>
      </c>
      <c r="K79" s="5" cm="1">
        <f t="array" ref="K79">PRODUCT(1+K67:K78)-1</f>
        <v>1.5400351303829662E-2</v>
      </c>
      <c r="L79" s="5" cm="1">
        <f t="array" ref="L79">PRODUCT(1+L67:L78)-1</f>
        <v>0</v>
      </c>
      <c r="M79" s="5" cm="1">
        <f t="array" ref="M79">PRODUCT(1+M67:M78)-1</f>
        <v>1.956756232807999E-3</v>
      </c>
      <c r="N79" s="5" cm="1">
        <f t="array" ref="N79">PRODUCT(1+N67:N78)-1</f>
        <v>0</v>
      </c>
      <c r="O79" s="5" cm="1">
        <f t="array" ref="O79">PRODUCT(1+O67:O78)-1</f>
        <v>0</v>
      </c>
      <c r="P79" s="5" cm="1">
        <f t="array" ref="P79">PRODUCT(1+P67:P78)-1</f>
        <v>1.0796239436872579E-2</v>
      </c>
      <c r="Q79" s="5" cm="1">
        <f t="array" ref="Q79">PRODUCT(1+Q67:Q78)-1</f>
        <v>0</v>
      </c>
      <c r="R79" s="5" cm="1">
        <f t="array" ref="R79">PRODUCT(1+R67:R78)-1</f>
        <v>7.2098437945660176E-3</v>
      </c>
      <c r="S79" s="5" cm="1">
        <f t="array" ref="S79">PRODUCT(1+S67:S78)-1</f>
        <v>-9.2092330022539581E-3</v>
      </c>
      <c r="T79" s="5" cm="1">
        <f t="array" ref="T79">PRODUCT(1+T67:T78)-1</f>
        <v>0</v>
      </c>
      <c r="U79" s="5" cm="1">
        <f t="array" ref="U79">PRODUCT(1+U67:U78)-1</f>
        <v>0</v>
      </c>
      <c r="V79" s="5" cm="1">
        <f t="array" ref="V79">PRODUCT(1+V67:V78)-1</f>
        <v>0</v>
      </c>
      <c r="W79" s="5" cm="1">
        <f t="array" ref="W79">PRODUCT(1+W67:W78)-1</f>
        <v>0</v>
      </c>
      <c r="X79" s="5" cm="1">
        <f t="array" ref="X79">PRODUCT(1+X67:X78)-1</f>
        <v>0</v>
      </c>
      <c r="Y79" s="5" cm="1">
        <f t="array" ref="Y79">PRODUCT(1+Y67:Y78)-1</f>
        <v>0</v>
      </c>
      <c r="Z79" s="5" cm="1">
        <f t="array" ref="Z79">PRODUCT(1+Z67:Z78)-1</f>
        <v>1.9358378683608679E-2</v>
      </c>
      <c r="AA79" s="5" cm="1">
        <f t="array" ref="AA79">PRODUCT(1+AA67:AA78)-1</f>
        <v>5.9485339813287741E-3</v>
      </c>
      <c r="AB79" s="5" cm="1">
        <f t="array" ref="AB79">PRODUCT(1+AB67:AB78)-1</f>
        <v>-3.03522249457433E-3</v>
      </c>
      <c r="AC79" s="5" cm="1">
        <f t="array" ref="AC79">PRODUCT(1+AC67:AC78)-1</f>
        <v>0</v>
      </c>
      <c r="AD79" s="5" cm="1">
        <f t="array" ref="AD79">PRODUCT(1+AD67:AD78)-1</f>
        <v>1.7261283607869826E-2</v>
      </c>
      <c r="AE79" s="5" cm="1">
        <f t="array" ref="AE79">PRODUCT(1+AE67:AE78)-1</f>
        <v>0</v>
      </c>
      <c r="AF79" s="5" cm="1">
        <f t="array" ref="AF79">PRODUCT(1+AF67:AF78)-1</f>
        <v>0</v>
      </c>
      <c r="AG79" s="5" cm="1">
        <f t="array" ref="AG79">PRODUCT(1+AG67:AG78)-1</f>
        <v>0</v>
      </c>
      <c r="AH79" s="5" cm="1">
        <f t="array" ref="AH79">PRODUCT(1+AH67:AH78)-1</f>
        <v>0</v>
      </c>
      <c r="AI79" s="5" cm="1">
        <f t="array" ref="AI79">PRODUCT(1+AI67:AI78)-1</f>
        <v>5.5656242123072186E-3</v>
      </c>
    </row>
    <row r="80" spans="1:35" x14ac:dyDescent="0.25">
      <c r="A80" s="1">
        <v>41305</v>
      </c>
      <c r="B80">
        <v>4.1700000000000001E-2</v>
      </c>
      <c r="C80">
        <v>4.5600000000000002E-2</v>
      </c>
      <c r="D80">
        <v>5.0428096519578469E-2</v>
      </c>
      <c r="E80">
        <v>-7.6800000000000002E-3</v>
      </c>
      <c r="F80">
        <v>1.8699999999999999E-3</v>
      </c>
      <c r="G80">
        <v>-1.1900000000000001E-3</v>
      </c>
      <c r="H80">
        <v>-5.9999999999999995E-4</v>
      </c>
      <c r="I80">
        <v>7.9299999999999995E-3</v>
      </c>
      <c r="J80">
        <v>5.7299999999999999E-3</v>
      </c>
      <c r="K80">
        <v>0</v>
      </c>
      <c r="L80" s="2">
        <v>1.0000000000000001E-5</v>
      </c>
      <c r="M80">
        <v>3.6999999999999999E-4</v>
      </c>
      <c r="N80">
        <v>5.5799999999999999E-3</v>
      </c>
      <c r="O80">
        <v>3.0699999999999998E-3</v>
      </c>
      <c r="P80">
        <v>6.3000000000000003E-4</v>
      </c>
      <c r="Q80">
        <v>2.5000000000000001E-3</v>
      </c>
      <c r="R80" s="2">
        <v>4.0000000000000003E-5</v>
      </c>
      <c r="S80">
        <v>0</v>
      </c>
      <c r="T80">
        <v>2.9399999999999999E-3</v>
      </c>
      <c r="U80">
        <v>1.57E-3</v>
      </c>
      <c r="V80">
        <v>6.4000000000000005E-4</v>
      </c>
      <c r="W80">
        <v>-2.1700000000000001E-3</v>
      </c>
      <c r="X80">
        <v>0</v>
      </c>
      <c r="Y80">
        <v>1.043E-2</v>
      </c>
      <c r="Z80">
        <v>1.6100000000000001E-3</v>
      </c>
      <c r="AA80">
        <v>0</v>
      </c>
      <c r="AB80">
        <v>0</v>
      </c>
      <c r="AC80">
        <v>5.1000000000000004E-4</v>
      </c>
      <c r="AD80">
        <v>7.9000000000000001E-4</v>
      </c>
      <c r="AE80">
        <v>1.58E-3</v>
      </c>
      <c r="AF80">
        <v>4.2000000000000002E-4</v>
      </c>
      <c r="AG80">
        <v>2.0699999999999998E-3</v>
      </c>
      <c r="AH80">
        <v>2.2000000000000001E-3</v>
      </c>
      <c r="AI80">
        <v>8.8999999999999995E-4</v>
      </c>
    </row>
    <row r="81" spans="1:35" x14ac:dyDescent="0.25">
      <c r="A81" s="1">
        <v>41333</v>
      </c>
      <c r="B81">
        <v>5.0000000000000001E-3</v>
      </c>
      <c r="C81">
        <v>1.1599999999999999E-2</v>
      </c>
      <c r="D81">
        <v>1.1060649195259176E-2</v>
      </c>
      <c r="E81">
        <v>-1.34E-3</v>
      </c>
      <c r="F81">
        <v>-1.4999999999999999E-4</v>
      </c>
      <c r="G81">
        <v>2.8600000000000001E-3</v>
      </c>
      <c r="H81">
        <v>-1.7000000000000001E-4</v>
      </c>
      <c r="I81">
        <v>8.0999999999999996E-4</v>
      </c>
      <c r="J81">
        <v>-3.5799999999999998E-3</v>
      </c>
      <c r="K81">
        <v>0</v>
      </c>
      <c r="L81">
        <v>7.6000000000000004E-4</v>
      </c>
      <c r="M81">
        <v>3.8000000000000002E-4</v>
      </c>
      <c r="N81">
        <v>8.8999999999999995E-4</v>
      </c>
      <c r="O81">
        <v>2.5300000000000001E-3</v>
      </c>
      <c r="P81">
        <v>4.4000000000000002E-4</v>
      </c>
      <c r="Q81">
        <v>1.2899999999999999E-3</v>
      </c>
      <c r="R81" s="2">
        <v>6.0000000000000002E-5</v>
      </c>
      <c r="S81">
        <v>0</v>
      </c>
      <c r="T81">
        <v>1.4400000000000001E-3</v>
      </c>
      <c r="U81">
        <v>1.1999999999999999E-3</v>
      </c>
      <c r="V81">
        <v>1.4999999999999999E-4</v>
      </c>
      <c r="W81">
        <v>1.06E-3</v>
      </c>
      <c r="X81">
        <v>8.8000000000000003E-4</v>
      </c>
      <c r="Y81">
        <v>-4.6100000000000004E-3</v>
      </c>
      <c r="Z81" s="2">
        <v>5.0000000000000002E-5</v>
      </c>
      <c r="AA81">
        <v>0</v>
      </c>
      <c r="AB81">
        <v>0</v>
      </c>
      <c r="AC81" s="2">
        <v>-4.0000000000000003E-5</v>
      </c>
      <c r="AD81">
        <v>5.5999999999999995E-4</v>
      </c>
      <c r="AE81">
        <v>1.34E-3</v>
      </c>
      <c r="AF81">
        <v>-7.5000000000000002E-4</v>
      </c>
      <c r="AG81">
        <v>1.3799999999999999E-3</v>
      </c>
      <c r="AH81">
        <v>-2.5200000000000001E-3</v>
      </c>
      <c r="AI81" s="2">
        <v>4.0000000000000003E-5</v>
      </c>
    </row>
    <row r="82" spans="1:35" x14ac:dyDescent="0.25">
      <c r="A82" s="1">
        <v>41361</v>
      </c>
      <c r="B82">
        <v>2.2700000000000001E-2</v>
      </c>
      <c r="C82">
        <v>2.87E-2</v>
      </c>
      <c r="D82">
        <v>3.5987723516956116E-2</v>
      </c>
      <c r="E82">
        <v>1.4999999999999999E-4</v>
      </c>
      <c r="F82">
        <v>2.7E-4</v>
      </c>
      <c r="G82">
        <v>7.0099999999999997E-3</v>
      </c>
      <c r="H82">
        <v>2.0400000000000001E-3</v>
      </c>
      <c r="I82">
        <v>4.3499999999999997E-3</v>
      </c>
      <c r="J82">
        <v>-3.4199999999999999E-3</v>
      </c>
      <c r="K82">
        <v>0</v>
      </c>
      <c r="L82">
        <v>2.6900000000000001E-3</v>
      </c>
      <c r="M82">
        <v>3.3E-4</v>
      </c>
      <c r="N82">
        <v>2.7499999999999998E-3</v>
      </c>
      <c r="O82">
        <v>-2.1000000000000001E-4</v>
      </c>
      <c r="P82">
        <v>8.1999999999999998E-4</v>
      </c>
      <c r="Q82">
        <v>-9.7000000000000005E-4</v>
      </c>
      <c r="R82" s="2">
        <v>6.9999999999999994E-5</v>
      </c>
      <c r="S82">
        <v>0</v>
      </c>
      <c r="T82">
        <v>7.9000000000000001E-4</v>
      </c>
      <c r="U82">
        <v>1.64E-3</v>
      </c>
      <c r="V82">
        <v>1.1299999999999999E-3</v>
      </c>
      <c r="W82">
        <v>3.9300000000000003E-3</v>
      </c>
      <c r="X82">
        <v>2.9999999999999997E-4</v>
      </c>
      <c r="Y82">
        <v>-2.7599999999999999E-3</v>
      </c>
      <c r="Z82">
        <v>8.9999999999999998E-4</v>
      </c>
      <c r="AA82">
        <v>0</v>
      </c>
      <c r="AB82">
        <v>0</v>
      </c>
      <c r="AC82" s="2">
        <v>-6.9999999999999994E-5</v>
      </c>
      <c r="AD82">
        <v>3.8000000000000002E-4</v>
      </c>
      <c r="AE82">
        <v>-2.7100000000000002E-3</v>
      </c>
      <c r="AF82">
        <v>1.74E-3</v>
      </c>
      <c r="AG82">
        <v>1.08E-3</v>
      </c>
      <c r="AH82">
        <v>3.8000000000000002E-4</v>
      </c>
      <c r="AI82">
        <v>1.3999999999999999E-4</v>
      </c>
    </row>
    <row r="83" spans="1:35" x14ac:dyDescent="0.25">
      <c r="A83" s="1">
        <v>41394</v>
      </c>
      <c r="B83">
        <v>4.7399999999999998E-2</v>
      </c>
      <c r="C83">
        <v>3.78E-2</v>
      </c>
      <c r="D83">
        <v>1.8085767859252311E-2</v>
      </c>
      <c r="E83" s="2">
        <v>1.0000000000000001E-5</v>
      </c>
      <c r="F83">
        <v>-1.5299999999999999E-3</v>
      </c>
      <c r="G83">
        <v>3.8999999999999998E-3</v>
      </c>
      <c r="H83">
        <v>2.5999999999999998E-4</v>
      </c>
      <c r="I83">
        <v>2.0699999999999998E-3</v>
      </c>
      <c r="J83">
        <v>-1.1999999999999999E-3</v>
      </c>
      <c r="K83">
        <v>0</v>
      </c>
      <c r="L83">
        <v>4.2000000000000002E-4</v>
      </c>
      <c r="M83">
        <v>5.1000000000000004E-4</v>
      </c>
      <c r="N83">
        <v>7.2199999999999999E-3</v>
      </c>
      <c r="O83">
        <v>-1.7899999999999999E-3</v>
      </c>
      <c r="P83">
        <v>5.1999999999999995E-4</v>
      </c>
      <c r="Q83">
        <v>1.2700000000000001E-3</v>
      </c>
      <c r="R83" s="2">
        <v>6.9999999999999994E-5</v>
      </c>
      <c r="S83">
        <v>0</v>
      </c>
      <c r="T83">
        <v>-5.2999999999999998E-4</v>
      </c>
      <c r="U83">
        <v>8.9099999999999995E-3</v>
      </c>
      <c r="V83">
        <v>1.0499999999999999E-3</v>
      </c>
      <c r="W83">
        <v>4.6100000000000004E-3</v>
      </c>
      <c r="X83">
        <v>1.66E-3</v>
      </c>
      <c r="Y83">
        <v>9.5200000000000007E-3</v>
      </c>
      <c r="Z83">
        <v>1.2E-4</v>
      </c>
      <c r="AA83">
        <v>0</v>
      </c>
      <c r="AB83">
        <v>0</v>
      </c>
      <c r="AC83">
        <v>4.7099999999999998E-3</v>
      </c>
      <c r="AD83">
        <v>5.8E-4</v>
      </c>
      <c r="AE83">
        <v>5.1200000000000004E-3</v>
      </c>
      <c r="AF83">
        <v>1.1100000000000001E-3</v>
      </c>
      <c r="AG83" s="2">
        <v>-2.0000000000000002E-5</v>
      </c>
      <c r="AH83">
        <v>-8.8999999999999995E-4</v>
      </c>
      <c r="AI83">
        <v>-2.7999999999999998E-4</v>
      </c>
    </row>
    <row r="84" spans="1:35" x14ac:dyDescent="0.25">
      <c r="A84" s="1">
        <v>41425</v>
      </c>
      <c r="B84">
        <v>3.44E-2</v>
      </c>
      <c r="C84">
        <v>1.4800000000000001E-2</v>
      </c>
      <c r="D84">
        <v>2.0762811721046104E-2</v>
      </c>
      <c r="E84">
        <v>1.1999999999999999E-3</v>
      </c>
      <c r="F84">
        <v>1.9499999999999999E-3</v>
      </c>
      <c r="G84">
        <v>5.3299999999999997E-3</v>
      </c>
      <c r="H84">
        <v>2.64E-3</v>
      </c>
      <c r="I84">
        <v>2.64E-3</v>
      </c>
      <c r="J84">
        <v>7.7999999999999999E-4</v>
      </c>
      <c r="K84">
        <v>0</v>
      </c>
      <c r="L84">
        <v>1.8600000000000001E-3</v>
      </c>
      <c r="M84">
        <v>-6.9999999999999999E-4</v>
      </c>
      <c r="N84">
        <v>2.5999999999999998E-4</v>
      </c>
      <c r="O84">
        <v>2.31E-3</v>
      </c>
      <c r="P84" s="2">
        <v>-5.0000000000000002E-5</v>
      </c>
      <c r="Q84">
        <v>3.7000000000000002E-3</v>
      </c>
      <c r="R84" s="2">
        <v>-8.0000000000000007E-5</v>
      </c>
      <c r="S84">
        <v>0</v>
      </c>
      <c r="T84">
        <v>2.0899999999999998E-3</v>
      </c>
      <c r="U84">
        <v>3.48E-3</v>
      </c>
      <c r="V84">
        <v>-3.6999999999999999E-4</v>
      </c>
      <c r="W84">
        <v>5.5399999999999998E-3</v>
      </c>
      <c r="X84">
        <v>1.2700000000000001E-3</v>
      </c>
      <c r="Y84">
        <v>2.16E-3</v>
      </c>
      <c r="Z84">
        <v>-9.1E-4</v>
      </c>
      <c r="AA84">
        <v>0</v>
      </c>
      <c r="AB84">
        <v>0</v>
      </c>
      <c r="AC84">
        <v>-2.2499999999999998E-3</v>
      </c>
      <c r="AD84">
        <v>-1.15E-3</v>
      </c>
      <c r="AE84">
        <v>-1.0300000000000001E-3</v>
      </c>
      <c r="AF84">
        <v>1.0499999999999999E-3</v>
      </c>
      <c r="AG84">
        <v>2.2000000000000001E-4</v>
      </c>
      <c r="AH84">
        <v>1.89E-3</v>
      </c>
      <c r="AI84">
        <v>5.2999999999999998E-4</v>
      </c>
    </row>
    <row r="85" spans="1:35" x14ac:dyDescent="0.25">
      <c r="A85" s="1">
        <v>41453</v>
      </c>
      <c r="B85">
        <v>-1.8200000000000001E-2</v>
      </c>
      <c r="C85">
        <v>-9.7000000000000003E-3</v>
      </c>
      <c r="D85">
        <v>-1.4999301636062778E-2</v>
      </c>
      <c r="E85">
        <v>-6.3099999999999996E-3</v>
      </c>
      <c r="F85">
        <v>1.01E-3</v>
      </c>
      <c r="G85">
        <v>2.0799999999999998E-3</v>
      </c>
      <c r="H85">
        <v>-1.39E-3</v>
      </c>
      <c r="I85">
        <v>-4.1000000000000003E-3</v>
      </c>
      <c r="J85">
        <v>-2.2599999999999999E-3</v>
      </c>
      <c r="K85">
        <v>0</v>
      </c>
      <c r="L85">
        <v>-9.8999999999999999E-4</v>
      </c>
      <c r="M85">
        <v>1.2E-4</v>
      </c>
      <c r="N85" s="2">
        <v>8.0000000000000007E-5</v>
      </c>
      <c r="O85">
        <v>1.2999999999999999E-4</v>
      </c>
      <c r="P85">
        <v>2.3000000000000001E-4</v>
      </c>
      <c r="Q85">
        <v>-1.07E-3</v>
      </c>
      <c r="R85" s="2">
        <v>1.0000000000000001E-5</v>
      </c>
      <c r="S85">
        <v>0</v>
      </c>
      <c r="T85">
        <v>-2.9999999999999997E-4</v>
      </c>
      <c r="U85">
        <v>-5.8E-4</v>
      </c>
      <c r="V85">
        <v>4.4000000000000002E-4</v>
      </c>
      <c r="W85">
        <v>2.9E-4</v>
      </c>
      <c r="X85">
        <v>-6.7000000000000002E-4</v>
      </c>
      <c r="Y85">
        <v>-1.64E-3</v>
      </c>
      <c r="Z85">
        <v>4.6999999999999999E-4</v>
      </c>
      <c r="AA85">
        <v>0</v>
      </c>
      <c r="AB85">
        <v>0</v>
      </c>
      <c r="AC85">
        <v>-1.9599999999999999E-3</v>
      </c>
      <c r="AD85">
        <v>2.1000000000000001E-4</v>
      </c>
      <c r="AE85">
        <v>-8.4999999999999995E-4</v>
      </c>
      <c r="AF85">
        <v>1.17E-3</v>
      </c>
      <c r="AG85">
        <v>1.9000000000000001E-4</v>
      </c>
      <c r="AH85">
        <v>-2.4499999999999999E-3</v>
      </c>
      <c r="AI85" s="2">
        <v>-3.0000000000000001E-5</v>
      </c>
    </row>
    <row r="86" spans="1:35" x14ac:dyDescent="0.25">
      <c r="A86" s="1">
        <v>41486</v>
      </c>
      <c r="B86">
        <v>4.2200000000000001E-2</v>
      </c>
      <c r="C86">
        <v>3.9899999999999998E-2</v>
      </c>
      <c r="D86">
        <v>4.9462079815224991E-2</v>
      </c>
      <c r="E86">
        <v>7.5300000000000002E-3</v>
      </c>
      <c r="F86">
        <v>2.7200000000000002E-3</v>
      </c>
      <c r="G86">
        <v>1.56E-3</v>
      </c>
      <c r="H86">
        <v>3.2599999999999999E-3</v>
      </c>
      <c r="I86">
        <v>5.4200000000000003E-3</v>
      </c>
      <c r="J86">
        <v>7.2000000000000005E-4</v>
      </c>
      <c r="K86">
        <v>0</v>
      </c>
      <c r="L86">
        <v>6.0499999999999998E-3</v>
      </c>
      <c r="M86">
        <v>3.6999999999999999E-4</v>
      </c>
      <c r="N86">
        <v>1.6100000000000001E-3</v>
      </c>
      <c r="O86">
        <v>2.5400000000000002E-3</v>
      </c>
      <c r="P86">
        <v>1.0200000000000001E-3</v>
      </c>
      <c r="Q86">
        <v>2.0400000000000001E-3</v>
      </c>
      <c r="R86">
        <v>0</v>
      </c>
      <c r="S86">
        <v>0</v>
      </c>
      <c r="T86">
        <v>2.6199999999999999E-3</v>
      </c>
      <c r="U86">
        <v>-4.4400000000000004E-3</v>
      </c>
      <c r="V86">
        <v>-1.6000000000000001E-4</v>
      </c>
      <c r="W86">
        <v>6.4599999999999996E-3</v>
      </c>
      <c r="X86">
        <v>6.4000000000000005E-4</v>
      </c>
      <c r="Y86">
        <v>-1.3999999999999999E-4</v>
      </c>
      <c r="Z86">
        <v>8.5999999999999998E-4</v>
      </c>
      <c r="AA86">
        <v>0</v>
      </c>
      <c r="AB86">
        <v>0</v>
      </c>
      <c r="AC86">
        <v>5.1999999999999995E-4</v>
      </c>
      <c r="AD86">
        <v>1.6000000000000001E-4</v>
      </c>
      <c r="AE86">
        <v>-2.1299999999999999E-3</v>
      </c>
      <c r="AF86">
        <v>2.63E-3</v>
      </c>
      <c r="AG86">
        <v>1E-4</v>
      </c>
      <c r="AH86">
        <v>-6.4999999999999997E-4</v>
      </c>
      <c r="AI86">
        <v>8.4999999999999995E-4</v>
      </c>
    </row>
    <row r="87" spans="1:35" x14ac:dyDescent="0.25">
      <c r="A87" s="1">
        <v>41516</v>
      </c>
      <c r="B87">
        <v>-1.66E-2</v>
      </c>
      <c r="C87">
        <v>-2.47E-2</v>
      </c>
      <c r="D87">
        <v>-3.1298019033866864E-2</v>
      </c>
      <c r="E87">
        <v>4.4400000000000004E-3</v>
      </c>
      <c r="F87">
        <v>-2.16E-3</v>
      </c>
      <c r="G87">
        <v>-4.0000000000000002E-4</v>
      </c>
      <c r="H87">
        <v>-7.9000000000000001E-4</v>
      </c>
      <c r="I87">
        <v>-3.9199999999999999E-3</v>
      </c>
      <c r="J87">
        <v>-2.5999999999999998E-4</v>
      </c>
      <c r="K87">
        <v>0</v>
      </c>
      <c r="L87">
        <v>1.6100000000000001E-3</v>
      </c>
      <c r="M87">
        <v>-1.3999999999999999E-4</v>
      </c>
      <c r="N87">
        <v>-4.0099999999999997E-3</v>
      </c>
      <c r="O87">
        <v>-2.5200000000000001E-3</v>
      </c>
      <c r="P87">
        <v>-7.9000000000000001E-4</v>
      </c>
      <c r="Q87">
        <v>-3.0300000000000001E-3</v>
      </c>
      <c r="R87" s="2">
        <v>-6.9999999999999994E-5</v>
      </c>
      <c r="S87">
        <v>0</v>
      </c>
      <c r="T87">
        <v>-9.7000000000000005E-4</v>
      </c>
      <c r="U87">
        <v>3.1900000000000001E-3</v>
      </c>
      <c r="V87" s="2">
        <v>2.0000000000000002E-5</v>
      </c>
      <c r="W87">
        <v>5.1000000000000004E-4</v>
      </c>
      <c r="X87">
        <v>6.0999999999999997E-4</v>
      </c>
      <c r="Y87">
        <v>-6.4999999999999997E-4</v>
      </c>
      <c r="Z87">
        <v>-5.8E-4</v>
      </c>
      <c r="AA87">
        <v>0</v>
      </c>
      <c r="AB87">
        <v>0</v>
      </c>
      <c r="AC87">
        <v>-3.1800000000000001E-3</v>
      </c>
      <c r="AD87">
        <v>-7.1000000000000002E-4</v>
      </c>
      <c r="AE87">
        <v>-1.15E-3</v>
      </c>
      <c r="AF87">
        <v>-3.6000000000000002E-4</v>
      </c>
      <c r="AG87">
        <v>-1.9000000000000001E-4</v>
      </c>
      <c r="AH87">
        <v>3.4000000000000002E-4</v>
      </c>
      <c r="AI87">
        <v>-1.4300000000000001E-3</v>
      </c>
    </row>
    <row r="88" spans="1:35" x14ac:dyDescent="0.25">
      <c r="A88" s="1">
        <v>41547</v>
      </c>
      <c r="B88">
        <v>4.1000000000000002E-2</v>
      </c>
      <c r="C88">
        <v>3.4500000000000003E-2</v>
      </c>
      <c r="D88">
        <v>2.9749523177239112E-2</v>
      </c>
      <c r="E88">
        <v>-1.14E-3</v>
      </c>
      <c r="F88">
        <v>3.62E-3</v>
      </c>
      <c r="G88">
        <v>7.8700000000000003E-3</v>
      </c>
      <c r="H88">
        <v>-5.2999999999999998E-4</v>
      </c>
      <c r="I88">
        <v>2.1900000000000001E-3</v>
      </c>
      <c r="J88">
        <v>6.0999999999999997E-4</v>
      </c>
      <c r="K88">
        <v>0</v>
      </c>
      <c r="L88">
        <v>3.5100000000000001E-3</v>
      </c>
      <c r="M88">
        <v>6.8000000000000005E-4</v>
      </c>
      <c r="N88">
        <v>4.0899999999999999E-3</v>
      </c>
      <c r="O88">
        <v>2.0300000000000001E-3</v>
      </c>
      <c r="P88" s="2">
        <v>4.0000000000000003E-5</v>
      </c>
      <c r="Q88">
        <v>7.5000000000000002E-4</v>
      </c>
      <c r="R88">
        <v>0</v>
      </c>
      <c r="S88">
        <v>0</v>
      </c>
      <c r="T88">
        <v>1.82E-3</v>
      </c>
      <c r="U88">
        <v>-2.0000000000000001E-4</v>
      </c>
      <c r="V88">
        <v>2.1099999999999999E-3</v>
      </c>
      <c r="W88">
        <v>1.8699999999999999E-3</v>
      </c>
      <c r="X88">
        <v>1.24E-3</v>
      </c>
      <c r="Y88">
        <v>4.64E-3</v>
      </c>
      <c r="Z88">
        <v>2.9999999999999997E-4</v>
      </c>
      <c r="AA88">
        <v>0</v>
      </c>
      <c r="AB88">
        <v>0</v>
      </c>
      <c r="AC88">
        <v>6.8000000000000005E-4</v>
      </c>
      <c r="AD88" s="2">
        <v>-1.0000000000000001E-5</v>
      </c>
      <c r="AE88">
        <v>1.1299999999999999E-3</v>
      </c>
      <c r="AF88" s="2">
        <v>5.0000000000000002E-5</v>
      </c>
      <c r="AG88">
        <v>1.8600000000000001E-3</v>
      </c>
      <c r="AH88">
        <v>2.1299999999999999E-3</v>
      </c>
      <c r="AI88">
        <v>-2.9E-4</v>
      </c>
    </row>
    <row r="89" spans="1:35" x14ac:dyDescent="0.25">
      <c r="A89" s="1">
        <v>41578</v>
      </c>
      <c r="B89">
        <v>6.4699999999999994E-2</v>
      </c>
      <c r="C89">
        <v>5.5500000000000001E-2</v>
      </c>
      <c r="D89">
        <v>4.4595752618006079E-2</v>
      </c>
      <c r="E89">
        <v>5.1399999999999996E-3</v>
      </c>
      <c r="F89">
        <v>5.28E-3</v>
      </c>
      <c r="G89">
        <v>6.6600000000000001E-3</v>
      </c>
      <c r="H89">
        <v>2.9999999999999997E-4</v>
      </c>
      <c r="I89">
        <v>6.1799999999999997E-3</v>
      </c>
      <c r="J89">
        <v>3.8999999999999999E-4</v>
      </c>
      <c r="K89">
        <v>0</v>
      </c>
      <c r="L89">
        <v>4.7000000000000002E-3</v>
      </c>
      <c r="M89">
        <v>1.7000000000000001E-4</v>
      </c>
      <c r="N89">
        <v>4.3200000000000001E-3</v>
      </c>
      <c r="O89">
        <v>4.7000000000000002E-3</v>
      </c>
      <c r="P89">
        <v>7.9000000000000001E-4</v>
      </c>
      <c r="Q89">
        <v>1.3999999999999999E-4</v>
      </c>
      <c r="R89" s="2">
        <v>6.0000000000000002E-5</v>
      </c>
      <c r="S89">
        <v>0</v>
      </c>
      <c r="T89">
        <v>1.91E-3</v>
      </c>
      <c r="U89">
        <v>3.62E-3</v>
      </c>
      <c r="V89">
        <v>5.8E-4</v>
      </c>
      <c r="W89">
        <v>7.43E-3</v>
      </c>
      <c r="X89">
        <v>-5.4000000000000001E-4</v>
      </c>
      <c r="Y89">
        <v>1.8600000000000001E-3</v>
      </c>
      <c r="Z89">
        <v>1.1299999999999999E-3</v>
      </c>
      <c r="AA89">
        <v>0</v>
      </c>
      <c r="AB89">
        <v>0</v>
      </c>
      <c r="AC89">
        <v>1.6299999999999999E-3</v>
      </c>
      <c r="AD89">
        <v>1.4599999999999999E-3</v>
      </c>
      <c r="AE89">
        <v>3.98E-3</v>
      </c>
      <c r="AF89">
        <v>-1.09E-3</v>
      </c>
      <c r="AG89">
        <v>2.0699999999999998E-3</v>
      </c>
      <c r="AH89">
        <v>8.4999999999999995E-4</v>
      </c>
      <c r="AI89">
        <v>9.3999999999999997E-4</v>
      </c>
    </row>
    <row r="90" spans="1:35" x14ac:dyDescent="0.25">
      <c r="A90" s="1">
        <v>41607</v>
      </c>
      <c r="B90">
        <v>3.39E-2</v>
      </c>
      <c r="C90">
        <v>3.5499999999999997E-2</v>
      </c>
      <c r="D90">
        <v>2.8049471635186451E-2</v>
      </c>
      <c r="E90">
        <v>3.7100000000000002E-3</v>
      </c>
      <c r="F90">
        <v>2.6099999999999999E-3</v>
      </c>
      <c r="G90">
        <v>1.9499999999999999E-3</v>
      </c>
      <c r="H90">
        <v>3.1900000000000001E-3</v>
      </c>
      <c r="I90">
        <v>6.7000000000000002E-4</v>
      </c>
      <c r="J90">
        <v>8.7000000000000001E-4</v>
      </c>
      <c r="K90">
        <v>0</v>
      </c>
      <c r="L90">
        <v>-5.1999999999999995E-4</v>
      </c>
      <c r="M90">
        <v>1.4999999999999999E-4</v>
      </c>
      <c r="N90">
        <v>1.9300000000000001E-3</v>
      </c>
      <c r="O90">
        <v>9.8999999999999999E-4</v>
      </c>
      <c r="P90">
        <v>3.4000000000000002E-4</v>
      </c>
      <c r="Q90">
        <v>3.5799999999999998E-3</v>
      </c>
      <c r="R90" s="2">
        <v>3.0000000000000001E-5</v>
      </c>
      <c r="S90">
        <v>0</v>
      </c>
      <c r="T90">
        <v>2.33E-3</v>
      </c>
      <c r="U90">
        <v>4.81E-3</v>
      </c>
      <c r="V90">
        <v>5.9999999999999995E-4</v>
      </c>
      <c r="W90">
        <v>3.1099999999999999E-3</v>
      </c>
      <c r="X90">
        <v>7.3999999999999999E-4</v>
      </c>
      <c r="Y90">
        <v>-8.0000000000000004E-4</v>
      </c>
      <c r="Z90">
        <v>6.8999999999999997E-4</v>
      </c>
      <c r="AA90">
        <v>0</v>
      </c>
      <c r="AB90">
        <v>0</v>
      </c>
      <c r="AC90">
        <v>-8.7000000000000001E-4</v>
      </c>
      <c r="AD90">
        <v>-4.8000000000000001E-4</v>
      </c>
      <c r="AE90">
        <v>-1.72E-3</v>
      </c>
      <c r="AF90">
        <v>2.1299999999999999E-3</v>
      </c>
      <c r="AG90">
        <v>1.33E-3</v>
      </c>
      <c r="AH90">
        <v>1.34E-3</v>
      </c>
      <c r="AI90">
        <v>1.1299999999999999E-3</v>
      </c>
    </row>
    <row r="91" spans="1:35" x14ac:dyDescent="0.25">
      <c r="A91" s="1">
        <v>41639</v>
      </c>
      <c r="B91">
        <v>2.24E-2</v>
      </c>
      <c r="C91">
        <v>1.54E-2</v>
      </c>
      <c r="D91">
        <v>2.356279155049279E-2</v>
      </c>
      <c r="E91">
        <v>4.6999999999999999E-4</v>
      </c>
      <c r="F91">
        <v>4.2000000000000002E-4</v>
      </c>
      <c r="G91">
        <v>1E-3</v>
      </c>
      <c r="H91">
        <v>-3.6999999999999999E-4</v>
      </c>
      <c r="I91">
        <v>2.5100000000000001E-3</v>
      </c>
      <c r="J91">
        <v>4.2900000000000004E-3</v>
      </c>
      <c r="K91">
        <v>0</v>
      </c>
      <c r="L91">
        <v>-2.14E-3</v>
      </c>
      <c r="M91" s="2">
        <v>4.0000000000000003E-5</v>
      </c>
      <c r="N91">
        <v>6.4700000000000001E-3</v>
      </c>
      <c r="O91">
        <v>2.98E-3</v>
      </c>
      <c r="P91">
        <v>-3.6999999999999999E-4</v>
      </c>
      <c r="Q91">
        <v>7.2000000000000005E-4</v>
      </c>
      <c r="R91" s="2">
        <v>4.0000000000000003E-5</v>
      </c>
      <c r="S91">
        <v>0</v>
      </c>
      <c r="T91">
        <v>1.7899999999999999E-3</v>
      </c>
      <c r="U91">
        <v>-1.07E-3</v>
      </c>
      <c r="V91" s="2">
        <v>-4.0000000000000003E-5</v>
      </c>
      <c r="W91">
        <v>9.8999999999999999E-4</v>
      </c>
      <c r="X91">
        <v>6.0999999999999997E-4</v>
      </c>
      <c r="Y91">
        <v>5.5999999999999995E-4</v>
      </c>
      <c r="Z91">
        <v>-5.6999999999999998E-4</v>
      </c>
      <c r="AA91">
        <v>0</v>
      </c>
      <c r="AB91">
        <v>0</v>
      </c>
      <c r="AC91">
        <v>5.9000000000000003E-4</v>
      </c>
      <c r="AD91" s="2">
        <v>-2.0000000000000002E-5</v>
      </c>
      <c r="AE91">
        <v>-7.6000000000000004E-4</v>
      </c>
      <c r="AF91">
        <v>3.5E-4</v>
      </c>
      <c r="AG91">
        <v>7.2999999999999996E-4</v>
      </c>
      <c r="AH91">
        <v>1.3699999999999999E-3</v>
      </c>
      <c r="AI91">
        <v>1.8600000000000001E-3</v>
      </c>
    </row>
    <row r="92" spans="1:35" x14ac:dyDescent="0.25">
      <c r="A92" s="10">
        <f>YEAR(A91)</f>
        <v>2013</v>
      </c>
      <c r="B92" s="5" cm="1">
        <f t="array" ref="B92">PRODUCT(1+B80:B91)-1</f>
        <v>0.36753900948845386</v>
      </c>
      <c r="C92" s="5" cm="1">
        <f t="array" ref="C92">PRODUCT(1+C80:C91)-1</f>
        <v>0.32138641144847546</v>
      </c>
      <c r="D92" s="5" cm="1">
        <f t="array" ref="D92">PRODUCT(1+D80:D91)-1</f>
        <v>0.29601249585590739</v>
      </c>
      <c r="E92" s="5" cm="1">
        <f t="array" ref="E92">PRODUCT(1+E80:E91)-1</f>
        <v>6.0883674878515759E-3</v>
      </c>
      <c r="F92" s="5" cm="1">
        <f t="array" ref="F92">PRODUCT(1+F80:F91)-1</f>
        <v>1.6001354332259021E-2</v>
      </c>
      <c r="G92" s="5" cm="1">
        <f t="array" ref="G92">PRODUCT(1+G80:G91)-1</f>
        <v>3.92717974338197E-2</v>
      </c>
      <c r="H92" s="5" cm="1">
        <f t="array" ref="H92">PRODUCT(1+H80:H91)-1</f>
        <v>7.8529765118768857E-3</v>
      </c>
      <c r="I92" s="5" cm="1">
        <f t="array" ref="I92">PRODUCT(1+I80:I91)-1</f>
        <v>2.7006021926453627E-2</v>
      </c>
      <c r="J92" s="5" cm="1">
        <f t="array" ref="J92">PRODUCT(1+J80:J91)-1</f>
        <v>2.6311250328097113E-3</v>
      </c>
      <c r="K92" s="5" cm="1">
        <f t="array" ref="K92">PRODUCT(1+K80:K91)-1</f>
        <v>0</v>
      </c>
      <c r="L92" s="5" cm="1">
        <f t="array" ref="L92">PRODUCT(1+L80:L91)-1</f>
        <v>1.8076117128886793E-2</v>
      </c>
      <c r="M92" s="5" cm="1">
        <f t="array" ref="M92">PRODUCT(1+M80:M91)-1</f>
        <v>2.2816858934968653E-3</v>
      </c>
      <c r="N92" s="5" cm="1">
        <f t="array" ref="N92">PRODUCT(1+N80:N91)-1</f>
        <v>3.1583128554878437E-2</v>
      </c>
      <c r="O92" s="5" cm="1">
        <f t="array" ref="O92">PRODUCT(1+O80:O91)-1</f>
        <v>1.6864032560924613E-2</v>
      </c>
      <c r="P92" s="5" cm="1">
        <f t="array" ref="P92">PRODUCT(1+P80:P91)-1</f>
        <v>3.6244876224966749E-3</v>
      </c>
      <c r="Q92" s="5" cm="1">
        <f t="array" ref="Q92">PRODUCT(1+Q80:Q91)-1</f>
        <v>1.0953303628002065E-2</v>
      </c>
      <c r="R92" s="5" cm="1">
        <f t="array" ref="R92">PRODUCT(1+R80:R91)-1</f>
        <v>2.3001019842983084E-4</v>
      </c>
      <c r="S92" s="5" cm="1">
        <f t="array" ref="S92">PRODUCT(1+S80:S91)-1</f>
        <v>0</v>
      </c>
      <c r="T92" s="5" cm="1">
        <f t="array" ref="T92">PRODUCT(1+T80:T91)-1</f>
        <v>1.6037531740429323E-2</v>
      </c>
      <c r="U92" s="5" cm="1">
        <f t="array" ref="U92">PRODUCT(1+U80:U91)-1</f>
        <v>2.2292253354234903E-2</v>
      </c>
      <c r="V92" s="5" cm="1">
        <f t="array" ref="V92">PRODUCT(1+V80:V91)-1</f>
        <v>6.1647696335833668E-3</v>
      </c>
      <c r="W92" s="5" cm="1">
        <f t="array" ref="W92">PRODUCT(1+W80:W91)-1</f>
        <v>3.410675831900134E-2</v>
      </c>
      <c r="X92" s="5" cm="1">
        <f t="array" ref="X92">PRODUCT(1+X80:X91)-1</f>
        <v>6.7581308954991481E-3</v>
      </c>
      <c r="Y92" s="5" cm="1">
        <f t="array" ref="Y92">PRODUCT(1+Y80:Y91)-1</f>
        <v>1.8610705570788255E-2</v>
      </c>
      <c r="Z92" s="5" cm="1">
        <f t="array" ref="Z92">PRODUCT(1+Z80:Z91)-1</f>
        <v>4.0744241384562674E-3</v>
      </c>
      <c r="AA92" s="5" cm="1">
        <f t="array" ref="AA92">PRODUCT(1+AA80:AA91)-1</f>
        <v>0</v>
      </c>
      <c r="AB92" s="5" cm="1">
        <f t="array" ref="AB92">PRODUCT(1+AB80:AB91)-1</f>
        <v>0</v>
      </c>
      <c r="AC92" s="5" cm="1">
        <f t="array" ref="AC92">PRODUCT(1+AC80:AC91)-1</f>
        <v>2.4706869757840089E-4</v>
      </c>
      <c r="AD92" s="5" cm="1">
        <f t="array" ref="AD92">PRODUCT(1+AD80:AD91)-1</f>
        <v>1.7687243841089106E-3</v>
      </c>
      <c r="AE92" s="5" cm="1">
        <f t="array" ref="AE92">PRODUCT(1+AE80:AE91)-1</f>
        <v>2.770813647952064E-3</v>
      </c>
      <c r="AF92" s="5" cm="1">
        <f t="array" ref="AF92">PRODUCT(1+AF80:AF91)-1</f>
        <v>8.4755443578259371E-3</v>
      </c>
      <c r="AG92" s="5" cm="1">
        <f t="array" ref="AG92">PRODUCT(1+AG80:AG91)-1</f>
        <v>1.0869896432234016E-2</v>
      </c>
      <c r="AH92" s="5" cm="1">
        <f t="array" ref="AH92">PRODUCT(1+AH80:AH91)-1</f>
        <v>3.9823230272513221E-3</v>
      </c>
      <c r="AI92" s="5" cm="1">
        <f t="array" ref="AI92">PRODUCT(1+AI80:AI91)-1</f>
        <v>4.3546338299802478E-3</v>
      </c>
    </row>
    <row r="93" spans="1:35" x14ac:dyDescent="0.25">
      <c r="A93" s="1">
        <v>41670</v>
      </c>
      <c r="B93">
        <v>-3.9899999999999998E-2</v>
      </c>
      <c r="C93">
        <v>-3.7999999999999999E-2</v>
      </c>
      <c r="D93">
        <v>-3.5582905675162646E-2</v>
      </c>
      <c r="E93">
        <v>-6.8000000000000005E-4</v>
      </c>
      <c r="F93">
        <v>-9.7000000000000005E-4</v>
      </c>
      <c r="G93">
        <v>-4.4299999999999999E-3</v>
      </c>
      <c r="H93">
        <v>3.2399999999999998E-3</v>
      </c>
      <c r="I93">
        <v>-4.3699999999999998E-3</v>
      </c>
      <c r="J93">
        <v>3.1800000000000001E-3</v>
      </c>
      <c r="K93">
        <v>0</v>
      </c>
      <c r="L93">
        <v>-5.2399999999999999E-3</v>
      </c>
      <c r="M93">
        <v>0</v>
      </c>
      <c r="N93">
        <v>-4.7200000000000002E-3</v>
      </c>
      <c r="O93">
        <v>-8.8100000000000001E-3</v>
      </c>
      <c r="P93">
        <v>0</v>
      </c>
      <c r="Q93">
        <v>-3.7599999999999999E-3</v>
      </c>
      <c r="R93">
        <v>0</v>
      </c>
      <c r="S93">
        <v>0</v>
      </c>
      <c r="T93">
        <v>-5.9699999999999996E-3</v>
      </c>
      <c r="U93">
        <v>3.8000000000000002E-4</v>
      </c>
      <c r="V93">
        <v>-1.74E-3</v>
      </c>
      <c r="W93">
        <v>4.6000000000000001E-4</v>
      </c>
      <c r="X93">
        <v>-4.8000000000000001E-4</v>
      </c>
      <c r="Y93">
        <v>-5.6299999999999996E-3</v>
      </c>
      <c r="Z93">
        <v>-1.1E-4</v>
      </c>
      <c r="AA93">
        <v>0</v>
      </c>
      <c r="AB93">
        <v>0</v>
      </c>
      <c r="AC93">
        <v>5.8E-4</v>
      </c>
      <c r="AD93">
        <v>0</v>
      </c>
      <c r="AE93">
        <v>-6.8999999999999997E-4</v>
      </c>
      <c r="AF93">
        <v>0</v>
      </c>
      <c r="AG93">
        <v>-1.39E-3</v>
      </c>
      <c r="AH93">
        <v>1.34E-3</v>
      </c>
      <c r="AI93" s="2">
        <v>-6.0000000000000002E-5</v>
      </c>
    </row>
    <row r="94" spans="1:35" x14ac:dyDescent="0.25">
      <c r="A94" s="1">
        <v>41698</v>
      </c>
      <c r="B94">
        <v>5.1400000000000001E-2</v>
      </c>
      <c r="C94">
        <v>4.4600000000000001E-2</v>
      </c>
      <c r="D94">
        <v>4.3117029976595278E-2</v>
      </c>
      <c r="E94">
        <v>3.6000000000000002E-4</v>
      </c>
      <c r="F94" s="2">
        <v>9.0000000000000006E-5</v>
      </c>
      <c r="G94">
        <v>1.89E-3</v>
      </c>
      <c r="H94">
        <v>-5.5999999999999995E-4</v>
      </c>
      <c r="I94">
        <v>1.2600000000000001E-3</v>
      </c>
      <c r="J94">
        <v>2.5400000000000002E-3</v>
      </c>
      <c r="K94">
        <v>0</v>
      </c>
      <c r="L94">
        <v>2.2399999999999998E-3</v>
      </c>
      <c r="M94">
        <v>0</v>
      </c>
      <c r="N94">
        <v>1.0749999999999999E-2</v>
      </c>
      <c r="O94">
        <v>1.9E-3</v>
      </c>
      <c r="P94">
        <v>0</v>
      </c>
      <c r="Q94">
        <v>2.1199999999999999E-3</v>
      </c>
      <c r="R94">
        <v>0</v>
      </c>
      <c r="S94">
        <v>0</v>
      </c>
      <c r="T94">
        <v>4.0000000000000001E-3</v>
      </c>
      <c r="U94">
        <v>6.6E-4</v>
      </c>
      <c r="V94">
        <v>1.8500000000000001E-3</v>
      </c>
      <c r="W94">
        <v>2.97E-3</v>
      </c>
      <c r="X94">
        <v>4.2300000000000003E-3</v>
      </c>
      <c r="Y94">
        <v>7.2700000000000004E-3</v>
      </c>
      <c r="Z94">
        <v>9.1E-4</v>
      </c>
      <c r="AA94">
        <v>0</v>
      </c>
      <c r="AB94">
        <v>0</v>
      </c>
      <c r="AC94">
        <v>1.6299999999999999E-3</v>
      </c>
      <c r="AD94">
        <v>0</v>
      </c>
      <c r="AE94">
        <v>1.56E-3</v>
      </c>
      <c r="AF94">
        <v>0</v>
      </c>
      <c r="AG94">
        <v>1.9000000000000001E-4</v>
      </c>
      <c r="AH94">
        <v>3.49E-3</v>
      </c>
      <c r="AI94" s="2">
        <v>4.0000000000000003E-5</v>
      </c>
    </row>
    <row r="95" spans="1:35" x14ac:dyDescent="0.25">
      <c r="A95" s="1">
        <v>41729</v>
      </c>
      <c r="B95">
        <v>1.89E-2</v>
      </c>
      <c r="C95">
        <v>2.2599999999999999E-2</v>
      </c>
      <c r="D95">
        <v>6.9321656079357474E-3</v>
      </c>
      <c r="E95">
        <v>1.2999999999999999E-4</v>
      </c>
      <c r="F95">
        <v>-6.8000000000000005E-4</v>
      </c>
      <c r="G95">
        <v>-1.4300000000000001E-3</v>
      </c>
      <c r="H95">
        <v>1.7600000000000001E-3</v>
      </c>
      <c r="I95">
        <v>3.2799999999999999E-3</v>
      </c>
      <c r="J95">
        <v>1.9300000000000001E-3</v>
      </c>
      <c r="K95">
        <v>0</v>
      </c>
      <c r="L95">
        <v>3.7599999999999999E-3</v>
      </c>
      <c r="M95">
        <v>0</v>
      </c>
      <c r="N95">
        <v>-8.7000000000000001E-4</v>
      </c>
      <c r="O95">
        <v>1.4E-3</v>
      </c>
      <c r="P95">
        <v>0</v>
      </c>
      <c r="Q95">
        <v>5.4900000000000001E-3</v>
      </c>
      <c r="R95">
        <v>0</v>
      </c>
      <c r="S95">
        <v>0</v>
      </c>
      <c r="T95">
        <v>4.8000000000000001E-4</v>
      </c>
      <c r="U95">
        <v>2.32E-3</v>
      </c>
      <c r="V95">
        <v>-1.34E-3</v>
      </c>
      <c r="W95">
        <v>1.1000000000000001E-3</v>
      </c>
      <c r="X95">
        <v>-6.0999999999999997E-4</v>
      </c>
      <c r="Y95">
        <v>-3.8000000000000002E-4</v>
      </c>
      <c r="Z95">
        <v>0</v>
      </c>
      <c r="AA95">
        <v>0</v>
      </c>
      <c r="AB95">
        <v>0</v>
      </c>
      <c r="AC95">
        <v>5.5000000000000003E-4</v>
      </c>
      <c r="AD95">
        <v>0</v>
      </c>
      <c r="AE95">
        <v>2.48E-3</v>
      </c>
      <c r="AF95">
        <v>0</v>
      </c>
      <c r="AG95">
        <v>2.5000000000000001E-4</v>
      </c>
      <c r="AH95">
        <v>-7.5000000000000002E-4</v>
      </c>
      <c r="AI95" s="2">
        <v>1.0000000000000001E-5</v>
      </c>
    </row>
    <row r="96" spans="1:35" x14ac:dyDescent="0.25">
      <c r="A96" s="1">
        <v>41759</v>
      </c>
      <c r="B96">
        <v>-1E-4</v>
      </c>
      <c r="C96">
        <v>7.7999999999999996E-3</v>
      </c>
      <c r="D96">
        <v>6.2007889650528281E-3</v>
      </c>
      <c r="E96">
        <v>6.3000000000000003E-4</v>
      </c>
      <c r="F96">
        <v>-9.2000000000000003E-4</v>
      </c>
      <c r="G96">
        <v>1.5100000000000001E-3</v>
      </c>
      <c r="H96">
        <v>-5.13E-3</v>
      </c>
      <c r="I96">
        <v>-3.7100000000000002E-3</v>
      </c>
      <c r="J96">
        <v>5.1999999999999998E-3</v>
      </c>
      <c r="K96">
        <v>0</v>
      </c>
      <c r="L96">
        <v>3.6600000000000001E-3</v>
      </c>
      <c r="M96">
        <v>0</v>
      </c>
      <c r="N96">
        <v>-8.7000000000000001E-4</v>
      </c>
      <c r="O96">
        <v>3.29E-3</v>
      </c>
      <c r="P96">
        <v>0</v>
      </c>
      <c r="Q96">
        <v>-5.7499999999999999E-3</v>
      </c>
      <c r="R96">
        <v>0</v>
      </c>
      <c r="S96">
        <v>0</v>
      </c>
      <c r="T96">
        <v>1.75E-3</v>
      </c>
      <c r="U96">
        <v>-4.8000000000000001E-4</v>
      </c>
      <c r="V96">
        <v>-2.9E-4</v>
      </c>
      <c r="W96">
        <v>-8.4999999999999995E-4</v>
      </c>
      <c r="X96">
        <v>7.5000000000000002E-4</v>
      </c>
      <c r="Y96">
        <v>3.4000000000000002E-4</v>
      </c>
      <c r="Z96">
        <v>-3.6999999999999999E-4</v>
      </c>
      <c r="AA96">
        <v>0</v>
      </c>
      <c r="AB96">
        <v>0</v>
      </c>
      <c r="AC96">
        <v>1.83E-3</v>
      </c>
      <c r="AD96">
        <v>0</v>
      </c>
      <c r="AE96" s="2">
        <v>9.0000000000000006E-5</v>
      </c>
      <c r="AF96">
        <v>0</v>
      </c>
      <c r="AG96">
        <v>1.7000000000000001E-4</v>
      </c>
      <c r="AH96">
        <v>-1E-3</v>
      </c>
      <c r="AI96" s="2">
        <v>3.0000000000000001E-5</v>
      </c>
    </row>
    <row r="97" spans="1:35" x14ac:dyDescent="0.25">
      <c r="A97" s="1">
        <v>41789</v>
      </c>
      <c r="B97">
        <v>2.0799999999999999E-2</v>
      </c>
      <c r="C97">
        <v>1.49E-2</v>
      </c>
      <c r="D97">
        <v>2.1030280012996005E-2</v>
      </c>
      <c r="E97">
        <v>4.8999999999999998E-4</v>
      </c>
      <c r="F97">
        <v>2.7E-4</v>
      </c>
      <c r="G97">
        <v>2.8999999999999998E-3</v>
      </c>
      <c r="H97">
        <v>0</v>
      </c>
      <c r="I97">
        <v>1.1199999999999999E-3</v>
      </c>
      <c r="J97">
        <v>-2.3500000000000001E-3</v>
      </c>
      <c r="K97">
        <v>0</v>
      </c>
      <c r="L97">
        <v>5.5300000000000002E-3</v>
      </c>
      <c r="M97">
        <v>0</v>
      </c>
      <c r="N97">
        <v>5.5999999999999999E-3</v>
      </c>
      <c r="O97">
        <v>-3.2000000000000003E-4</v>
      </c>
      <c r="P97">
        <v>0</v>
      </c>
      <c r="Q97">
        <v>-5.9000000000000003E-4</v>
      </c>
      <c r="R97">
        <v>0</v>
      </c>
      <c r="S97">
        <v>0</v>
      </c>
      <c r="T97">
        <v>2.15E-3</v>
      </c>
      <c r="U97">
        <v>6.7000000000000002E-4</v>
      </c>
      <c r="V97">
        <v>1.3600000000000001E-3</v>
      </c>
      <c r="W97">
        <v>3.4000000000000002E-4</v>
      </c>
      <c r="X97">
        <v>8.0000000000000004E-4</v>
      </c>
      <c r="Y97">
        <v>2.9299999999999999E-3</v>
      </c>
      <c r="Z97">
        <v>-6.2E-4</v>
      </c>
      <c r="AA97">
        <v>0</v>
      </c>
      <c r="AB97">
        <v>0</v>
      </c>
      <c r="AC97">
        <v>9.3000000000000005E-4</v>
      </c>
      <c r="AD97">
        <v>0</v>
      </c>
      <c r="AE97">
        <v>5.2999999999999998E-4</v>
      </c>
      <c r="AF97">
        <v>0</v>
      </c>
      <c r="AG97">
        <v>9.1E-4</v>
      </c>
      <c r="AH97">
        <v>-1.8799999999999999E-3</v>
      </c>
      <c r="AI97" s="2">
        <v>-1.0000000000000001E-5</v>
      </c>
    </row>
    <row r="98" spans="1:35" x14ac:dyDescent="0.25">
      <c r="A98" s="1">
        <v>41820</v>
      </c>
      <c r="B98">
        <v>2.1000000000000001E-2</v>
      </c>
      <c r="C98">
        <v>1.6199999999999999E-2</v>
      </c>
      <c r="D98">
        <v>1.9058331658920569E-2</v>
      </c>
      <c r="E98">
        <v>1.7000000000000001E-4</v>
      </c>
      <c r="F98">
        <v>3.8000000000000002E-4</v>
      </c>
      <c r="G98">
        <v>-3.1900000000000001E-3</v>
      </c>
      <c r="H98">
        <v>6.8000000000000005E-4</v>
      </c>
      <c r="I98">
        <v>4.7200000000000002E-3</v>
      </c>
      <c r="J98">
        <v>4.9100000000000003E-3</v>
      </c>
      <c r="K98">
        <v>0</v>
      </c>
      <c r="L98">
        <v>4.7099999999999998E-3</v>
      </c>
      <c r="M98">
        <v>0</v>
      </c>
      <c r="N98">
        <v>1.9599999999999999E-3</v>
      </c>
      <c r="O98">
        <v>-9.2000000000000003E-4</v>
      </c>
      <c r="P98">
        <v>0</v>
      </c>
      <c r="Q98">
        <v>2.96E-3</v>
      </c>
      <c r="R98">
        <v>0</v>
      </c>
      <c r="S98">
        <v>0</v>
      </c>
      <c r="T98">
        <v>3.4000000000000002E-4</v>
      </c>
      <c r="U98">
        <v>6.0999999999999997E-4</v>
      </c>
      <c r="V98">
        <v>2.0000000000000001E-4</v>
      </c>
      <c r="W98">
        <v>-8.8999999999999995E-4</v>
      </c>
      <c r="X98">
        <v>-5.8E-4</v>
      </c>
      <c r="Y98">
        <v>2.6099999999999999E-3</v>
      </c>
      <c r="Z98" s="2">
        <v>2.0000000000000002E-5</v>
      </c>
      <c r="AA98">
        <v>0</v>
      </c>
      <c r="AB98">
        <v>0</v>
      </c>
      <c r="AC98" s="2">
        <v>-4.0000000000000003E-5</v>
      </c>
      <c r="AD98">
        <v>0</v>
      </c>
      <c r="AE98">
        <v>9.3000000000000005E-4</v>
      </c>
      <c r="AF98">
        <v>0</v>
      </c>
      <c r="AG98">
        <v>-1.7000000000000001E-4</v>
      </c>
      <c r="AH98">
        <v>1.57E-3</v>
      </c>
      <c r="AI98">
        <v>0</v>
      </c>
    </row>
    <row r="99" spans="1:35" x14ac:dyDescent="0.25">
      <c r="A99" s="1">
        <v>41851</v>
      </c>
      <c r="B99">
        <v>-2.2599999999999999E-2</v>
      </c>
      <c r="C99">
        <v>-2.4799999999999999E-2</v>
      </c>
      <c r="D99">
        <v>-1.5079830581919862E-2</v>
      </c>
      <c r="E99">
        <v>1.8000000000000001E-4</v>
      </c>
      <c r="F99">
        <v>-3.5E-4</v>
      </c>
      <c r="G99">
        <v>-2.8500000000000001E-3</v>
      </c>
      <c r="H99">
        <v>-3.3E-4</v>
      </c>
      <c r="I99">
        <v>-4.0200000000000001E-3</v>
      </c>
      <c r="J99">
        <v>-5.1799999999999997E-3</v>
      </c>
      <c r="K99">
        <v>0</v>
      </c>
      <c r="L99">
        <v>-1.9E-3</v>
      </c>
      <c r="M99">
        <v>0</v>
      </c>
      <c r="N99">
        <v>1.6000000000000001E-4</v>
      </c>
      <c r="O99">
        <v>-3.6600000000000001E-3</v>
      </c>
      <c r="P99">
        <v>0</v>
      </c>
      <c r="Q99">
        <v>6.3000000000000003E-4</v>
      </c>
      <c r="R99">
        <v>0</v>
      </c>
      <c r="S99">
        <v>0</v>
      </c>
      <c r="T99">
        <v>-1.14E-3</v>
      </c>
      <c r="U99">
        <v>1.16E-3</v>
      </c>
      <c r="V99">
        <v>-1.2999999999999999E-4</v>
      </c>
      <c r="W99">
        <v>1.72E-3</v>
      </c>
      <c r="X99">
        <v>-1.3500000000000001E-3</v>
      </c>
      <c r="Y99">
        <v>-3.4099999999999998E-3</v>
      </c>
      <c r="Z99">
        <v>-3.4000000000000002E-4</v>
      </c>
      <c r="AA99">
        <v>0</v>
      </c>
      <c r="AB99">
        <v>0</v>
      </c>
      <c r="AC99">
        <v>3.8000000000000002E-4</v>
      </c>
      <c r="AD99">
        <v>0</v>
      </c>
      <c r="AE99">
        <v>-9.6000000000000002E-4</v>
      </c>
      <c r="AF99">
        <v>0</v>
      </c>
      <c r="AG99">
        <v>-8.0000000000000004E-4</v>
      </c>
      <c r="AH99">
        <v>-3.4000000000000002E-4</v>
      </c>
      <c r="AI99" s="2">
        <v>-1.0000000000000001E-5</v>
      </c>
    </row>
    <row r="100" spans="1:35" x14ac:dyDescent="0.25">
      <c r="A100" s="1">
        <v>41880</v>
      </c>
      <c r="B100">
        <v>4.5900000000000003E-2</v>
      </c>
      <c r="C100">
        <v>4.2200000000000001E-2</v>
      </c>
      <c r="D100">
        <v>3.7655295489735119E-2</v>
      </c>
      <c r="E100">
        <v>4.8999999999999998E-4</v>
      </c>
      <c r="F100">
        <v>8.0000000000000004E-4</v>
      </c>
      <c r="G100">
        <v>3.15E-3</v>
      </c>
      <c r="H100">
        <v>2.3600000000000001E-3</v>
      </c>
      <c r="I100">
        <v>7.8700000000000003E-3</v>
      </c>
      <c r="J100">
        <v>6.4400000000000004E-3</v>
      </c>
      <c r="K100">
        <v>0</v>
      </c>
      <c r="L100">
        <v>-1.01E-3</v>
      </c>
      <c r="M100">
        <v>0</v>
      </c>
      <c r="N100">
        <v>4.4299999999999999E-3</v>
      </c>
      <c r="O100">
        <v>2.81E-3</v>
      </c>
      <c r="P100">
        <v>0</v>
      </c>
      <c r="Q100">
        <v>2.48E-3</v>
      </c>
      <c r="R100">
        <v>0</v>
      </c>
      <c r="S100">
        <v>0</v>
      </c>
      <c r="T100">
        <v>1.9499999999999999E-3</v>
      </c>
      <c r="U100">
        <v>1.9599999999999999E-3</v>
      </c>
      <c r="V100">
        <v>5.1000000000000004E-4</v>
      </c>
      <c r="W100">
        <v>2.1299999999999999E-3</v>
      </c>
      <c r="X100">
        <v>2.7899999999999999E-3</v>
      </c>
      <c r="Y100">
        <v>4.3800000000000002E-3</v>
      </c>
      <c r="Z100">
        <v>3.4000000000000002E-4</v>
      </c>
      <c r="AA100">
        <v>0</v>
      </c>
      <c r="AB100">
        <v>0</v>
      </c>
      <c r="AC100">
        <v>6.0999999999999997E-4</v>
      </c>
      <c r="AD100">
        <v>0</v>
      </c>
      <c r="AE100">
        <v>1.08E-3</v>
      </c>
      <c r="AF100">
        <v>0</v>
      </c>
      <c r="AG100">
        <v>1.3999999999999999E-4</v>
      </c>
      <c r="AH100">
        <v>1.7000000000000001E-4</v>
      </c>
      <c r="AI100" s="2">
        <v>1.0000000000000001E-5</v>
      </c>
    </row>
    <row r="101" spans="1:35" x14ac:dyDescent="0.25">
      <c r="A101" s="1">
        <v>41912</v>
      </c>
      <c r="B101">
        <v>-1.4E-2</v>
      </c>
      <c r="C101">
        <v>-6.4000000000000003E-3</v>
      </c>
      <c r="D101">
        <v>-1.5513837223063764E-2</v>
      </c>
      <c r="E101">
        <v>-1.1E-4</v>
      </c>
      <c r="F101">
        <v>-4.6999999999999999E-4</v>
      </c>
      <c r="G101">
        <v>2.5000000000000001E-4</v>
      </c>
      <c r="H101">
        <v>2.6900000000000001E-3</v>
      </c>
      <c r="I101">
        <v>-5.8E-4</v>
      </c>
      <c r="J101">
        <v>-7.1799999999999998E-3</v>
      </c>
      <c r="K101">
        <v>0</v>
      </c>
      <c r="L101">
        <v>-3.7599999999999999E-3</v>
      </c>
      <c r="M101">
        <v>0</v>
      </c>
      <c r="N101">
        <v>-8.9999999999999998E-4</v>
      </c>
      <c r="O101">
        <v>-4.6000000000000001E-4</v>
      </c>
      <c r="P101">
        <v>0</v>
      </c>
      <c r="Q101">
        <v>1.07E-3</v>
      </c>
      <c r="R101">
        <v>0</v>
      </c>
      <c r="S101">
        <v>0</v>
      </c>
      <c r="T101">
        <v>-1.1199999999999999E-3</v>
      </c>
      <c r="U101">
        <v>6.8000000000000005E-4</v>
      </c>
      <c r="V101">
        <v>3.2100000000000002E-3</v>
      </c>
      <c r="W101">
        <v>2.0100000000000001E-3</v>
      </c>
      <c r="X101">
        <v>-1.23E-3</v>
      </c>
      <c r="Y101">
        <v>-4.7000000000000002E-3</v>
      </c>
      <c r="Z101" s="2">
        <v>9.0000000000000006E-5</v>
      </c>
      <c r="AA101">
        <v>0</v>
      </c>
      <c r="AB101">
        <v>0</v>
      </c>
      <c r="AC101">
        <v>-1.08E-3</v>
      </c>
      <c r="AD101">
        <v>0</v>
      </c>
      <c r="AE101">
        <v>-8.3000000000000001E-4</v>
      </c>
      <c r="AF101">
        <v>0</v>
      </c>
      <c r="AG101">
        <v>1.4999999999999999E-4</v>
      </c>
      <c r="AH101">
        <v>-1.7099999999999999E-3</v>
      </c>
      <c r="AI101" s="2">
        <v>-4.0000000000000003E-5</v>
      </c>
    </row>
    <row r="102" spans="1:35" x14ac:dyDescent="0.25">
      <c r="A102" s="1">
        <v>41943</v>
      </c>
      <c r="B102">
        <v>1.9E-2</v>
      </c>
      <c r="C102">
        <v>2.6800000000000001E-2</v>
      </c>
      <c r="D102">
        <v>2.3201460786772321E-2</v>
      </c>
      <c r="E102">
        <v>4.4999999999999999E-4</v>
      </c>
      <c r="F102">
        <v>-5.1000000000000004E-4</v>
      </c>
      <c r="G102">
        <v>-1.0399999999999999E-3</v>
      </c>
      <c r="H102">
        <v>2.7999999999999998E-4</v>
      </c>
      <c r="I102">
        <v>3.3700000000000002E-3</v>
      </c>
      <c r="J102">
        <v>2.4299999999999999E-3</v>
      </c>
      <c r="K102">
        <v>0</v>
      </c>
      <c r="L102">
        <v>-3.0899999999999999E-3</v>
      </c>
      <c r="M102">
        <v>0</v>
      </c>
      <c r="N102">
        <v>2.5100000000000001E-3</v>
      </c>
      <c r="O102">
        <v>6.3000000000000003E-4</v>
      </c>
      <c r="P102">
        <v>0</v>
      </c>
      <c r="Q102">
        <v>8.4999999999999995E-4</v>
      </c>
      <c r="R102">
        <v>0</v>
      </c>
      <c r="S102">
        <v>0</v>
      </c>
      <c r="T102">
        <v>5.9199999999999999E-3</v>
      </c>
      <c r="U102">
        <v>4.2000000000000002E-4</v>
      </c>
      <c r="V102">
        <v>1E-3</v>
      </c>
      <c r="W102">
        <v>2.65E-3</v>
      </c>
      <c r="X102">
        <v>1.42E-3</v>
      </c>
      <c r="Y102">
        <v>-5.3400000000000001E-3</v>
      </c>
      <c r="Z102">
        <v>1.8000000000000001E-4</v>
      </c>
      <c r="AA102">
        <v>0</v>
      </c>
      <c r="AB102">
        <v>0</v>
      </c>
      <c r="AC102">
        <v>2.9399999999999999E-3</v>
      </c>
      <c r="AD102">
        <v>0</v>
      </c>
      <c r="AE102">
        <v>2.0999999999999999E-3</v>
      </c>
      <c r="AF102">
        <v>0</v>
      </c>
      <c r="AG102">
        <v>1E-3</v>
      </c>
      <c r="AH102">
        <v>8.4999999999999995E-4</v>
      </c>
      <c r="AI102" s="2">
        <v>2.0000000000000002E-5</v>
      </c>
    </row>
    <row r="103" spans="1:35" x14ac:dyDescent="0.25">
      <c r="A103" s="1">
        <v>41971</v>
      </c>
      <c r="B103">
        <v>1.49E-2</v>
      </c>
      <c r="C103">
        <v>3.0099999999999998E-2</v>
      </c>
      <c r="D103">
        <v>2.4533588760364822E-2</v>
      </c>
      <c r="E103">
        <v>6.7000000000000002E-4</v>
      </c>
      <c r="F103">
        <v>1.0399999999999999E-3</v>
      </c>
      <c r="G103">
        <v>4.3800000000000002E-3</v>
      </c>
      <c r="H103">
        <v>-2.9999999999999997E-4</v>
      </c>
      <c r="I103">
        <v>4.5599999999999998E-3</v>
      </c>
      <c r="J103">
        <v>-6.2E-4</v>
      </c>
      <c r="K103">
        <v>0</v>
      </c>
      <c r="L103">
        <v>-5.4799999999999996E-3</v>
      </c>
      <c r="M103">
        <v>0</v>
      </c>
      <c r="N103">
        <v>1.1800000000000001E-3</v>
      </c>
      <c r="O103">
        <v>2.2399999999999998E-3</v>
      </c>
      <c r="P103">
        <v>0</v>
      </c>
      <c r="Q103">
        <v>-4.2000000000000002E-4</v>
      </c>
      <c r="R103">
        <v>0</v>
      </c>
      <c r="S103">
        <v>0</v>
      </c>
      <c r="T103">
        <v>3.2399999999999998E-3</v>
      </c>
      <c r="U103">
        <v>8.1999999999999998E-4</v>
      </c>
      <c r="V103">
        <v>1.6100000000000001E-3</v>
      </c>
      <c r="W103">
        <v>1.5E-3</v>
      </c>
      <c r="X103">
        <v>1.8600000000000001E-3</v>
      </c>
      <c r="Y103">
        <v>-7.3200000000000001E-3</v>
      </c>
      <c r="Z103">
        <v>6.8000000000000005E-4</v>
      </c>
      <c r="AA103">
        <v>0</v>
      </c>
      <c r="AB103">
        <v>0</v>
      </c>
      <c r="AC103">
        <v>5.2999999999999998E-4</v>
      </c>
      <c r="AD103">
        <v>0</v>
      </c>
      <c r="AE103">
        <v>1.5100000000000001E-3</v>
      </c>
      <c r="AF103">
        <v>0</v>
      </c>
      <c r="AG103">
        <v>8.0000000000000004E-4</v>
      </c>
      <c r="AH103">
        <v>2.49E-3</v>
      </c>
      <c r="AI103" s="2">
        <v>-4.0000000000000003E-5</v>
      </c>
    </row>
    <row r="104" spans="1:35" x14ac:dyDescent="0.25">
      <c r="A104" s="1">
        <v>42004</v>
      </c>
      <c r="B104">
        <v>3.2000000000000002E-3</v>
      </c>
      <c r="C104">
        <v>-5.7999999999999996E-3</v>
      </c>
      <c r="D104">
        <v>-4.1885878779204244E-3</v>
      </c>
      <c r="E104">
        <v>-4.4999999999999999E-4</v>
      </c>
      <c r="F104">
        <v>-8.0000000000000004E-4</v>
      </c>
      <c r="G104">
        <v>-1.75E-3</v>
      </c>
      <c r="H104">
        <v>2.2599999999999999E-3</v>
      </c>
      <c r="I104">
        <v>1E-4</v>
      </c>
      <c r="J104">
        <v>-7.0299999999999998E-3</v>
      </c>
      <c r="K104">
        <v>0</v>
      </c>
      <c r="L104">
        <v>2.9399999999999999E-3</v>
      </c>
      <c r="M104">
        <v>0</v>
      </c>
      <c r="N104">
        <v>2.9099999999999998E-3</v>
      </c>
      <c r="O104">
        <v>-3.1800000000000001E-3</v>
      </c>
      <c r="P104">
        <v>0</v>
      </c>
      <c r="Q104">
        <v>3.2299999999999998E-3</v>
      </c>
      <c r="R104">
        <v>0</v>
      </c>
      <c r="S104">
        <v>0</v>
      </c>
      <c r="T104">
        <v>1.83E-3</v>
      </c>
      <c r="U104">
        <v>-9.3999999999999997E-4</v>
      </c>
      <c r="V104">
        <v>-6.8000000000000005E-4</v>
      </c>
      <c r="W104">
        <v>2.5899999999999999E-3</v>
      </c>
      <c r="X104">
        <v>-1.0499999999999999E-3</v>
      </c>
      <c r="Y104">
        <v>4.0800000000000003E-3</v>
      </c>
      <c r="Z104">
        <v>0</v>
      </c>
      <c r="AA104">
        <v>0</v>
      </c>
      <c r="AB104">
        <v>0</v>
      </c>
      <c r="AC104">
        <v>2.4000000000000001E-4</v>
      </c>
      <c r="AD104">
        <v>0</v>
      </c>
      <c r="AE104">
        <v>-1.07E-3</v>
      </c>
      <c r="AF104">
        <v>0</v>
      </c>
      <c r="AG104">
        <v>1.7000000000000001E-4</v>
      </c>
      <c r="AH104">
        <v>-1.9000000000000001E-4</v>
      </c>
      <c r="AI104" s="2">
        <v>1.0000000000000001E-5</v>
      </c>
    </row>
    <row r="105" spans="1:35" x14ac:dyDescent="0.25">
      <c r="A105" s="10">
        <f>YEAR(A104)</f>
        <v>2014</v>
      </c>
      <c r="B105" s="5" cm="1">
        <f t="array" ref="B105">PRODUCT(1+B93:B104)-1</f>
        <v>0.12089091484042536</v>
      </c>
      <c r="C105" s="5" cm="1">
        <f t="array" ref="C105">PRODUCT(1+C93:C104)-1</f>
        <v>0.13423496016670811</v>
      </c>
      <c r="D105" s="5" cm="1">
        <f t="array" ref="D105">PRODUCT(1+D93:D104)-1</f>
        <v>0.11390633789337312</v>
      </c>
      <c r="E105" s="5" cm="1">
        <f t="array" ref="E105">PRODUCT(1+E93:E104)-1</f>
        <v>2.3315072722702723E-3</v>
      </c>
      <c r="F105" s="5" cm="1">
        <f t="array" ref="F105">PRODUCT(1+F93:F104)-1</f>
        <v>-2.1204690848715124E-3</v>
      </c>
      <c r="G105" s="5" cm="1">
        <f t="array" ref="G105">PRODUCT(1+G93:G104)-1</f>
        <v>-6.5355935989719338E-4</v>
      </c>
      <c r="H105" s="5" cm="1">
        <f t="array" ref="H105">PRODUCT(1+H93:H104)-1</f>
        <v>6.9445456193957256E-3</v>
      </c>
      <c r="I105" s="5" cm="1">
        <f t="array" ref="I105">PRODUCT(1+I93:I104)-1</f>
        <v>1.3602199270288606E-2</v>
      </c>
      <c r="J105" s="5" cm="1">
        <f t="array" ref="J105">PRODUCT(1+J93:J104)-1</f>
        <v>4.1522392222872462E-3</v>
      </c>
      <c r="K105" s="5" cm="1">
        <f t="array" ref="K105">PRODUCT(1+K93:K104)-1</f>
        <v>0</v>
      </c>
      <c r="L105" s="5" cm="1">
        <f t="array" ref="L105">PRODUCT(1+L93:L104)-1</f>
        <v>2.2727005912173137E-3</v>
      </c>
      <c r="M105" s="5" cm="1">
        <f t="array" ref="M105">PRODUCT(1+M93:M104)-1</f>
        <v>0</v>
      </c>
      <c r="N105" s="5" cm="1">
        <f t="array" ref="N105">PRODUCT(1+N93:N104)-1</f>
        <v>2.2279451096347991E-2</v>
      </c>
      <c r="O105" s="5" cm="1">
        <f t="array" ref="O105">PRODUCT(1+O93:O104)-1</f>
        <v>-5.1330061117319525E-3</v>
      </c>
      <c r="P105" s="5" cm="1">
        <f t="array" ref="P105">PRODUCT(1+P93:P104)-1</f>
        <v>0</v>
      </c>
      <c r="Q105" s="5" cm="1">
        <f t="array" ref="Q105">PRODUCT(1+Q93:Q104)-1</f>
        <v>8.2891846586399254E-3</v>
      </c>
      <c r="R105" s="5" cm="1">
        <f t="array" ref="R105">PRODUCT(1+R93:R104)-1</f>
        <v>0</v>
      </c>
      <c r="S105" s="5" cm="1">
        <f t="array" ref="S105">PRODUCT(1+S93:S104)-1</f>
        <v>0</v>
      </c>
      <c r="T105" s="5" cm="1">
        <f t="array" ref="T105">PRODUCT(1+T93:T104)-1</f>
        <v>1.3462391044831712E-2</v>
      </c>
      <c r="U105" s="5" cm="1">
        <f t="array" ref="U105">PRODUCT(1+U93:U104)-1</f>
        <v>8.2869578783444364E-3</v>
      </c>
      <c r="V105" s="5" cm="1">
        <f t="array" ref="V105">PRODUCT(1+V93:V104)-1</f>
        <v>5.5630018859587071E-3</v>
      </c>
      <c r="W105" s="5" cm="1">
        <f t="array" ref="W105">PRODUCT(1+W93:W104)-1</f>
        <v>1.5834391237460776E-2</v>
      </c>
      <c r="X105" s="5" cm="1">
        <f t="array" ref="X105">PRODUCT(1+X93:X104)-1</f>
        <v>6.5525422077647999E-3</v>
      </c>
      <c r="Y105" s="5" cm="1">
        <f t="array" ref="Y105">PRODUCT(1+Y93:Y104)-1</f>
        <v>-5.2820256284018541E-3</v>
      </c>
      <c r="Z105" s="5" cm="1">
        <f t="array" ref="Z105">PRODUCT(1+Z93:Z104)-1</f>
        <v>7.7925572324799575E-4</v>
      </c>
      <c r="AA105" s="5" cm="1">
        <f t="array" ref="AA105">PRODUCT(1+AA93:AA104)-1</f>
        <v>0</v>
      </c>
      <c r="AB105" s="5" cm="1">
        <f t="array" ref="AB105">PRODUCT(1+AB93:AB104)-1</f>
        <v>0</v>
      </c>
      <c r="AC105" s="5" cm="1">
        <f t="array" ref="AC105">PRODUCT(1+AC93:AC104)-1</f>
        <v>9.1323719041691565E-3</v>
      </c>
      <c r="AD105" s="5" cm="1">
        <f t="array" ref="AD105">PRODUCT(1+AD93:AD104)-1</f>
        <v>0</v>
      </c>
      <c r="AE105" s="5" cm="1">
        <f t="array" ref="AE105">PRODUCT(1+AE93:AE104)-1</f>
        <v>6.7422244983135204E-3</v>
      </c>
      <c r="AF105" s="5" cm="1">
        <f t="array" ref="AF105">PRODUCT(1+AF93:AF104)-1</f>
        <v>0</v>
      </c>
      <c r="AG105" s="5" cm="1">
        <f t="array" ref="AG105">PRODUCT(1+AG93:AG104)-1</f>
        <v>1.4183708367048187E-3</v>
      </c>
      <c r="AH105" s="5" cm="1">
        <f t="array" ref="AH105">PRODUCT(1+AH93:AH104)-1</f>
        <v>4.0323428938140449E-3</v>
      </c>
      <c r="AI105" s="5" cm="1">
        <f t="array" ref="AI105">PRODUCT(1+AI93:AI104)-1</f>
        <v>-4.0004299887819172E-5</v>
      </c>
    </row>
    <row r="106" spans="1:35" x14ac:dyDescent="0.25">
      <c r="A106" s="1">
        <v>42034</v>
      </c>
      <c r="B106">
        <v>-5.9799999999999999E-2</v>
      </c>
      <c r="C106">
        <v>-1.7399999999999999E-2</v>
      </c>
      <c r="D106">
        <v>-3.1040805790470194E-2</v>
      </c>
      <c r="E106">
        <v>0</v>
      </c>
      <c r="F106">
        <v>0</v>
      </c>
      <c r="G106">
        <v>0</v>
      </c>
      <c r="H106">
        <v>-1.532E-2</v>
      </c>
      <c r="I106">
        <v>-4.7699999999999999E-3</v>
      </c>
      <c r="J106">
        <v>-1.1860000000000001E-2</v>
      </c>
      <c r="K106">
        <v>0</v>
      </c>
      <c r="L106">
        <v>-8.8000000000000005E-3</v>
      </c>
      <c r="M106">
        <v>0</v>
      </c>
      <c r="N106">
        <v>-3.4299999999999999E-3</v>
      </c>
      <c r="O106">
        <v>-5.4599999999999996E-3</v>
      </c>
      <c r="P106">
        <v>0</v>
      </c>
      <c r="Q106">
        <v>-1.2460000000000001E-2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-4.2100000000000002E-3</v>
      </c>
      <c r="Y106">
        <v>-7.6000000000000004E-4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7.2700000000000004E-3</v>
      </c>
      <c r="AI106">
        <v>0</v>
      </c>
    </row>
    <row r="107" spans="1:35" x14ac:dyDescent="0.25">
      <c r="A107" s="1">
        <v>42062</v>
      </c>
      <c r="B107">
        <v>8.9200000000000002E-2</v>
      </c>
      <c r="C107">
        <v>5.7099999999999998E-2</v>
      </c>
      <c r="D107">
        <v>5.4892511014553946E-2</v>
      </c>
      <c r="E107">
        <v>0</v>
      </c>
      <c r="F107">
        <v>0</v>
      </c>
      <c r="G107">
        <v>0</v>
      </c>
      <c r="H107">
        <v>4.3600000000000002E-3</v>
      </c>
      <c r="I107">
        <v>9.0799999999999995E-3</v>
      </c>
      <c r="J107">
        <v>3.6600000000000001E-3</v>
      </c>
      <c r="K107">
        <v>0</v>
      </c>
      <c r="L107">
        <v>4.6800000000000001E-3</v>
      </c>
      <c r="M107">
        <v>0</v>
      </c>
      <c r="N107">
        <v>1.4420000000000001E-2</v>
      </c>
      <c r="O107">
        <v>9.75E-3</v>
      </c>
      <c r="P107">
        <v>0</v>
      </c>
      <c r="Q107">
        <v>1.269E-2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1.5310000000000001E-2</v>
      </c>
      <c r="Y107">
        <v>-2.65E-3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1.7860000000000001E-2</v>
      </c>
      <c r="AI107">
        <v>0</v>
      </c>
    </row>
    <row r="108" spans="1:35" x14ac:dyDescent="0.25">
      <c r="A108" s="1">
        <v>42094</v>
      </c>
      <c r="B108">
        <v>-2.5100000000000001E-2</v>
      </c>
      <c r="C108">
        <v>-2.24E-2</v>
      </c>
      <c r="D108">
        <v>-1.739610691375626E-2</v>
      </c>
      <c r="E108">
        <v>0</v>
      </c>
      <c r="F108">
        <v>0</v>
      </c>
      <c r="G108">
        <v>0</v>
      </c>
      <c r="H108">
        <v>-2.3400000000000001E-3</v>
      </c>
      <c r="I108">
        <v>-9.2000000000000003E-4</v>
      </c>
      <c r="J108">
        <v>-3.46E-3</v>
      </c>
      <c r="K108">
        <v>0</v>
      </c>
      <c r="L108">
        <v>-4.5100000000000001E-3</v>
      </c>
      <c r="M108">
        <v>0</v>
      </c>
      <c r="N108">
        <v>7.7999999999999999E-4</v>
      </c>
      <c r="O108">
        <v>-4.5399999999999998E-3</v>
      </c>
      <c r="P108">
        <v>0</v>
      </c>
      <c r="Q108">
        <v>-1.14E-3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-5.1500000000000001E-3</v>
      </c>
      <c r="Y108">
        <v>-5.3400000000000001E-3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1.57E-3</v>
      </c>
      <c r="AI108">
        <v>0</v>
      </c>
    </row>
    <row r="109" spans="1:35" x14ac:dyDescent="0.25">
      <c r="A109" s="1">
        <v>42124</v>
      </c>
      <c r="B109">
        <v>5.6599999999999998E-2</v>
      </c>
      <c r="C109">
        <v>2.3099999999999999E-2</v>
      </c>
      <c r="D109">
        <v>8.5208197301247512E-3</v>
      </c>
      <c r="E109">
        <v>0</v>
      </c>
      <c r="F109">
        <v>0</v>
      </c>
      <c r="G109">
        <v>0</v>
      </c>
      <c r="H109">
        <v>3.5100000000000001E-3</v>
      </c>
      <c r="I109">
        <v>-5.1999999999999995E-4</v>
      </c>
      <c r="J109">
        <v>9.4299999999999991E-3</v>
      </c>
      <c r="K109">
        <v>0</v>
      </c>
      <c r="L109">
        <v>9.0900000000000009E-3</v>
      </c>
      <c r="M109">
        <v>0</v>
      </c>
      <c r="N109">
        <v>3.65E-3</v>
      </c>
      <c r="O109">
        <v>9.1500000000000001E-3</v>
      </c>
      <c r="P109">
        <v>0</v>
      </c>
      <c r="Q109">
        <v>5.0800000000000003E-3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6.0699999999999999E-3</v>
      </c>
      <c r="Y109">
        <v>9.7300000000000008E-3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1.4499999999999999E-3</v>
      </c>
      <c r="AI109">
        <v>0</v>
      </c>
    </row>
    <row r="110" spans="1:35" x14ac:dyDescent="0.25">
      <c r="A110" s="1">
        <v>42153</v>
      </c>
      <c r="B110">
        <v>6.4000000000000003E-3</v>
      </c>
      <c r="C110">
        <v>8.5000000000000006E-3</v>
      </c>
      <c r="D110">
        <v>1.0491382393316817E-2</v>
      </c>
      <c r="E110">
        <v>0</v>
      </c>
      <c r="F110">
        <v>0</v>
      </c>
      <c r="G110">
        <v>0</v>
      </c>
      <c r="H110">
        <v>3.5799999999999998E-3</v>
      </c>
      <c r="I110">
        <v>5.1000000000000004E-4</v>
      </c>
      <c r="J110">
        <v>-1.8E-3</v>
      </c>
      <c r="K110">
        <v>0</v>
      </c>
      <c r="L110">
        <v>-5.1700000000000001E-3</v>
      </c>
      <c r="M110">
        <v>0</v>
      </c>
      <c r="N110">
        <v>1.5200000000000001E-3</v>
      </c>
      <c r="O110">
        <v>6.9999999999999999E-4</v>
      </c>
      <c r="P110">
        <v>0</v>
      </c>
      <c r="Q110">
        <v>3.98E-3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1.4999999999999999E-4</v>
      </c>
      <c r="Y110">
        <v>-2.3800000000000002E-3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5.2700000000000004E-3</v>
      </c>
      <c r="AI110">
        <v>0</v>
      </c>
    </row>
    <row r="111" spans="1:35" x14ac:dyDescent="0.25">
      <c r="A111" s="1">
        <v>42185</v>
      </c>
      <c r="B111">
        <v>-1.6199999999999999E-2</v>
      </c>
      <c r="C111">
        <v>-1.7100000000000001E-2</v>
      </c>
      <c r="D111">
        <v>-2.1011672375900514E-2</v>
      </c>
      <c r="E111">
        <v>0</v>
      </c>
      <c r="F111">
        <v>0</v>
      </c>
      <c r="G111">
        <v>0</v>
      </c>
      <c r="H111">
        <v>3.4499999999999999E-3</v>
      </c>
      <c r="I111">
        <v>-4.8199999999999996E-3</v>
      </c>
      <c r="J111">
        <v>-5.9000000000000003E-4</v>
      </c>
      <c r="K111">
        <v>0</v>
      </c>
      <c r="L111">
        <v>-3.5599999999999998E-3</v>
      </c>
      <c r="M111">
        <v>0</v>
      </c>
      <c r="N111">
        <v>3.4199999999999999E-3</v>
      </c>
      <c r="O111">
        <v>-1.72E-3</v>
      </c>
      <c r="P111">
        <v>0</v>
      </c>
      <c r="Q111">
        <v>3.0100000000000001E-3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-9.1299999999999992E-3</v>
      </c>
      <c r="Y111">
        <v>4.2000000000000002E-4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-6.6699999999999997E-3</v>
      </c>
      <c r="AI111">
        <v>0</v>
      </c>
    </row>
    <row r="112" spans="1:35" x14ac:dyDescent="0.25">
      <c r="A112" s="1">
        <v>42216</v>
      </c>
      <c r="B112">
        <v>-1.7299999999999999E-2</v>
      </c>
      <c r="C112">
        <v>2.23E-2</v>
      </c>
      <c r="D112">
        <v>1.9742029696721453E-2</v>
      </c>
      <c r="E112">
        <v>0</v>
      </c>
      <c r="F112">
        <v>0</v>
      </c>
      <c r="G112">
        <v>0</v>
      </c>
      <c r="H112">
        <v>5.0499999999999998E-3</v>
      </c>
      <c r="I112">
        <v>-2.7899999999999999E-3</v>
      </c>
      <c r="J112">
        <v>-6.3899999999999998E-3</v>
      </c>
      <c r="K112">
        <v>0</v>
      </c>
      <c r="L112">
        <v>-1.6820000000000002E-2</v>
      </c>
      <c r="M112">
        <v>0</v>
      </c>
      <c r="N112">
        <v>5.7099999999999998E-3</v>
      </c>
      <c r="O112">
        <v>-1.7700000000000001E-3</v>
      </c>
      <c r="P112">
        <v>0</v>
      </c>
      <c r="Q112">
        <v>1.7899999999999999E-3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-8.0000000000000004E-4</v>
      </c>
      <c r="Y112">
        <v>-9.7300000000000008E-3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8.4499999999999992E-3</v>
      </c>
      <c r="AI112">
        <v>0</v>
      </c>
    </row>
    <row r="113" spans="1:35" x14ac:dyDescent="0.25">
      <c r="A113" s="1">
        <v>42247</v>
      </c>
      <c r="B113">
        <v>-2.9499999999999998E-2</v>
      </c>
      <c r="C113">
        <v>-4.58E-2</v>
      </c>
      <c r="D113">
        <v>-6.2580818167202845E-2</v>
      </c>
      <c r="E113">
        <v>0</v>
      </c>
      <c r="F113">
        <v>0</v>
      </c>
      <c r="G113">
        <v>0</v>
      </c>
      <c r="H113">
        <v>-8.6099999999999996E-3</v>
      </c>
      <c r="I113">
        <v>-9.4199999999999996E-3</v>
      </c>
      <c r="J113">
        <v>-2.7899999999999999E-3</v>
      </c>
      <c r="K113">
        <v>0</v>
      </c>
      <c r="L113">
        <v>-2.3600000000000001E-3</v>
      </c>
      <c r="M113">
        <v>0</v>
      </c>
      <c r="N113">
        <v>-1.5100000000000001E-2</v>
      </c>
      <c r="O113">
        <v>-4.8999999999999998E-3</v>
      </c>
      <c r="P113">
        <v>0</v>
      </c>
      <c r="Q113">
        <v>-6.4599999999999996E-3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1.3169999999999999E-2</v>
      </c>
      <c r="Y113">
        <v>4.0000000000000001E-3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2.97E-3</v>
      </c>
      <c r="AI113">
        <v>0</v>
      </c>
    </row>
    <row r="114" spans="1:35" x14ac:dyDescent="0.25">
      <c r="A114" s="1">
        <v>42277</v>
      </c>
      <c r="B114">
        <v>-2.8400000000000002E-2</v>
      </c>
      <c r="C114">
        <v>-5.9999999999999995E-4</v>
      </c>
      <c r="D114">
        <v>-2.6442831573227132E-2</v>
      </c>
      <c r="E114">
        <v>0</v>
      </c>
      <c r="F114">
        <v>0</v>
      </c>
      <c r="G114">
        <v>0</v>
      </c>
      <c r="H114">
        <v>-4.3499999999999997E-3</v>
      </c>
      <c r="I114">
        <v>-1.65E-3</v>
      </c>
      <c r="J114">
        <v>-1.4500000000000001E-2</v>
      </c>
      <c r="K114">
        <v>0</v>
      </c>
      <c r="L114">
        <v>-2.4199999999999998E-3</v>
      </c>
      <c r="M114">
        <v>0</v>
      </c>
      <c r="N114">
        <v>3.1E-4</v>
      </c>
      <c r="O114">
        <v>2.5400000000000002E-3</v>
      </c>
      <c r="P114">
        <v>0</v>
      </c>
      <c r="Q114">
        <v>-4.8799999999999998E-3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9.6500000000000006E-3</v>
      </c>
      <c r="Y114">
        <v>-8.3700000000000007E-3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-4.7200000000000002E-3</v>
      </c>
      <c r="AI114">
        <v>0</v>
      </c>
    </row>
    <row r="115" spans="1:35" x14ac:dyDescent="0.25">
      <c r="A115" s="1">
        <v>42307</v>
      </c>
      <c r="B115">
        <v>0.1198</v>
      </c>
      <c r="C115">
        <v>9.6799999999999997E-2</v>
      </c>
      <c r="D115">
        <v>8.2983117760394132E-2</v>
      </c>
      <c r="E115">
        <v>0</v>
      </c>
      <c r="F115">
        <v>0</v>
      </c>
      <c r="G115">
        <v>0</v>
      </c>
      <c r="H115">
        <v>7.7000000000000002E-3</v>
      </c>
      <c r="I115">
        <v>1.8319999999999999E-2</v>
      </c>
      <c r="J115">
        <v>1.285E-2</v>
      </c>
      <c r="K115">
        <v>0</v>
      </c>
      <c r="L115">
        <v>1.278E-2</v>
      </c>
      <c r="M115">
        <v>0</v>
      </c>
      <c r="N115">
        <v>1.129E-2</v>
      </c>
      <c r="O115">
        <v>1.4670000000000001E-2</v>
      </c>
      <c r="P115">
        <v>0</v>
      </c>
      <c r="Q115">
        <v>6.1000000000000004E-3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1.5089999999999999E-2</v>
      </c>
      <c r="Y115">
        <v>1.268E-2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8.2699999999999996E-3</v>
      </c>
      <c r="AI115">
        <v>0</v>
      </c>
    </row>
    <row r="116" spans="1:35" x14ac:dyDescent="0.25">
      <c r="A116" s="1">
        <v>42338</v>
      </c>
      <c r="B116">
        <v>3.5200000000000002E-2</v>
      </c>
      <c r="C116">
        <v>1.0500000000000001E-2</v>
      </c>
      <c r="D116">
        <v>5.0486926072412786E-4</v>
      </c>
      <c r="E116">
        <v>0</v>
      </c>
      <c r="F116">
        <v>0</v>
      </c>
      <c r="G116">
        <v>0</v>
      </c>
      <c r="H116">
        <v>3.8700000000000002E-3</v>
      </c>
      <c r="I116">
        <v>3.3400000000000001E-3</v>
      </c>
      <c r="J116">
        <v>-4.6999999999999999E-4</v>
      </c>
      <c r="K116">
        <v>0</v>
      </c>
      <c r="L116">
        <v>1.31E-3</v>
      </c>
      <c r="M116">
        <v>0</v>
      </c>
      <c r="N116">
        <v>-2.4000000000000001E-4</v>
      </c>
      <c r="O116">
        <v>3.5300000000000002E-3</v>
      </c>
      <c r="P116">
        <v>0</v>
      </c>
      <c r="Q116">
        <v>3.7799999999999999E-3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1.221E-2</v>
      </c>
      <c r="Y116">
        <v>1.41E-3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6.4099999999999999E-3</v>
      </c>
      <c r="AI116">
        <v>0</v>
      </c>
    </row>
    <row r="117" spans="1:35" x14ac:dyDescent="0.25">
      <c r="A117" s="1">
        <v>42369</v>
      </c>
      <c r="B117">
        <v>-4.5100000000000001E-2</v>
      </c>
      <c r="C117">
        <v>-1.3899999999999999E-2</v>
      </c>
      <c r="D117">
        <v>-1.7530185176314439E-2</v>
      </c>
      <c r="E117">
        <v>0</v>
      </c>
      <c r="F117">
        <v>0</v>
      </c>
      <c r="G117">
        <v>0</v>
      </c>
      <c r="H117">
        <v>-3.16E-3</v>
      </c>
      <c r="I117">
        <v>-5.7800000000000004E-3</v>
      </c>
      <c r="J117">
        <v>-6.4599999999999996E-3</v>
      </c>
      <c r="K117">
        <v>0</v>
      </c>
      <c r="L117">
        <v>-1.362E-2</v>
      </c>
      <c r="M117">
        <v>0</v>
      </c>
      <c r="N117">
        <v>-6.77E-3</v>
      </c>
      <c r="O117">
        <v>4.81E-3</v>
      </c>
      <c r="P117">
        <v>0</v>
      </c>
      <c r="Q117">
        <v>-9.7000000000000005E-4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3.9100000000000003E-3</v>
      </c>
      <c r="Y117">
        <v>-9.5600000000000008E-3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-7.4999999999999997E-3</v>
      </c>
      <c r="AI117">
        <v>0</v>
      </c>
    </row>
    <row r="118" spans="1:35" x14ac:dyDescent="0.25">
      <c r="A118" s="10">
        <f>YEAR(A117)</f>
        <v>2015</v>
      </c>
      <c r="B118" s="5" cm="1">
        <f t="array" ref="B118">PRODUCT(1+B106:B117)-1</f>
        <v>7.127908062224475E-2</v>
      </c>
      <c r="C118" s="5" cm="1">
        <f t="array" ref="C118">PRODUCT(1+C106:C117)-1</f>
        <v>9.7233817428143299E-2</v>
      </c>
      <c r="D118" s="5" cm="1">
        <f t="array" ref="D118">PRODUCT(1+D106:D117)-1</f>
        <v>-7.2659972373926296E-3</v>
      </c>
      <c r="E118" s="5" cm="1">
        <f t="array" ref="E118">PRODUCT(1+E106:E117)-1</f>
        <v>0</v>
      </c>
      <c r="F118" s="5" cm="1">
        <f t="array" ref="F118">PRODUCT(1+F106:F117)-1</f>
        <v>0</v>
      </c>
      <c r="G118" s="5" cm="1">
        <f t="array" ref="G118">PRODUCT(1+G106:G117)-1</f>
        <v>0</v>
      </c>
      <c r="H118" s="5" cm="1">
        <f t="array" ref="H118">PRODUCT(1+H106:H117)-1</f>
        <v>-2.5075537467771358E-3</v>
      </c>
      <c r="I118" s="5" cm="1">
        <f t="array" ref="I118">PRODUCT(1+I106:I117)-1</f>
        <v>2.772734045211056E-4</v>
      </c>
      <c r="J118" s="5" cm="1">
        <f t="array" ref="J118">PRODUCT(1+J106:J117)-1</f>
        <v>-2.2486362107329128E-2</v>
      </c>
      <c r="K118" s="5" cm="1">
        <f t="array" ref="K118">PRODUCT(1+K106:K117)-1</f>
        <v>0</v>
      </c>
      <c r="L118" s="5" cm="1">
        <f t="array" ref="L118">PRODUCT(1+L106:L117)-1</f>
        <v>-2.9404147078569975E-2</v>
      </c>
      <c r="M118" s="5" cm="1">
        <f t="array" ref="M118">PRODUCT(1+M106:M117)-1</f>
        <v>0</v>
      </c>
      <c r="N118" s="5" cm="1">
        <f t="array" ref="N118">PRODUCT(1+N106:N117)-1</f>
        <v>1.5335832166781582E-2</v>
      </c>
      <c r="O118" s="5" cm="1">
        <f t="array" ref="O118">PRODUCT(1+O106:O117)-1</f>
        <v>2.6857329076206859E-2</v>
      </c>
      <c r="P118" s="5" cm="1">
        <f t="array" ref="P118">PRODUCT(1+P106:P117)-1</f>
        <v>0</v>
      </c>
      <c r="Q118" s="5" cm="1">
        <f t="array" ref="Q118">PRODUCT(1+Q106:Q117)-1</f>
        <v>1.0328293210182249E-2</v>
      </c>
      <c r="R118" s="5" cm="1">
        <f t="array" ref="R118">PRODUCT(1+R106:R117)-1</f>
        <v>0</v>
      </c>
      <c r="S118" s="5" cm="1">
        <f t="array" ref="S118">PRODUCT(1+S106:S117)-1</f>
        <v>0</v>
      </c>
      <c r="T118" s="5" cm="1">
        <f t="array" ref="T118">PRODUCT(1+T106:T117)-1</f>
        <v>0</v>
      </c>
      <c r="U118" s="5" cm="1">
        <f t="array" ref="U118">PRODUCT(1+U106:U117)-1</f>
        <v>0</v>
      </c>
      <c r="V118" s="5" cm="1">
        <f t="array" ref="V118">PRODUCT(1+V106:V117)-1</f>
        <v>0</v>
      </c>
      <c r="W118" s="5" cm="1">
        <f t="array" ref="W118">PRODUCT(1+W106:W117)-1</f>
        <v>0</v>
      </c>
      <c r="X118" s="5" cm="1">
        <f t="array" ref="X118">PRODUCT(1+X106:X117)-1</f>
        <v>5.7327667331244614E-2</v>
      </c>
      <c r="Y118" s="5" cm="1">
        <f t="array" ref="Y118">PRODUCT(1+Y106:Y117)-1</f>
        <v>-1.0777128698054361E-2</v>
      </c>
      <c r="Z118" s="5" cm="1">
        <f t="array" ref="Z118">PRODUCT(1+Z106:Z117)-1</f>
        <v>0</v>
      </c>
      <c r="AA118" s="5" cm="1">
        <f t="array" ref="AA118">PRODUCT(1+AA106:AA117)-1</f>
        <v>0</v>
      </c>
      <c r="AB118" s="5" cm="1">
        <f t="array" ref="AB118">PRODUCT(1+AB106:AB117)-1</f>
        <v>0</v>
      </c>
      <c r="AC118" s="5" cm="1">
        <f t="array" ref="AC118">PRODUCT(1+AC106:AC117)-1</f>
        <v>0</v>
      </c>
      <c r="AD118" s="5" cm="1">
        <f t="array" ref="AD118">PRODUCT(1+AD106:AD117)-1</f>
        <v>0</v>
      </c>
      <c r="AE118" s="5" cm="1">
        <f t="array" ref="AE118">PRODUCT(1+AE106:AE117)-1</f>
        <v>0</v>
      </c>
      <c r="AF118" s="5" cm="1">
        <f t="array" ref="AF118">PRODUCT(1+AF106:AF117)-1</f>
        <v>0</v>
      </c>
      <c r="AG118" s="5" cm="1">
        <f t="array" ref="AG118">PRODUCT(1+AG106:AG117)-1</f>
        <v>0</v>
      </c>
      <c r="AH118" s="5" cm="1">
        <f t="array" ref="AH118">PRODUCT(1+AH106:AH117)-1</f>
        <v>4.1095799953329681E-2</v>
      </c>
      <c r="AI118" s="5" cm="1">
        <f t="array" ref="AI118">PRODUCT(1+AI106:AI117)-1</f>
        <v>0</v>
      </c>
    </row>
    <row r="119" spans="1:35" x14ac:dyDescent="0.25">
      <c r="A119" s="1">
        <v>42398</v>
      </c>
      <c r="B119">
        <v>2.6499999999999999E-2</v>
      </c>
      <c r="C119">
        <v>-3.7600000000000001E-2</v>
      </c>
      <c r="D119">
        <v>-5.073532197294639E-2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1.9400000000000001E-3</v>
      </c>
      <c r="L119">
        <v>0</v>
      </c>
      <c r="M119">
        <v>6.7000000000000002E-3</v>
      </c>
      <c r="N119">
        <v>0</v>
      </c>
      <c r="O119">
        <v>0</v>
      </c>
      <c r="P119">
        <v>1.67E-3</v>
      </c>
      <c r="Q119">
        <v>0</v>
      </c>
      <c r="R119" s="2">
        <v>-9.0000000000000006E-5</v>
      </c>
      <c r="S119">
        <v>4.7699999999999999E-3</v>
      </c>
      <c r="T119">
        <v>0</v>
      </c>
      <c r="U119">
        <v>0</v>
      </c>
      <c r="V119">
        <v>-7.7999999999999999E-4</v>
      </c>
      <c r="W119">
        <v>0</v>
      </c>
      <c r="X119">
        <v>0</v>
      </c>
      <c r="Y119">
        <v>0</v>
      </c>
      <c r="Z119">
        <v>0</v>
      </c>
      <c r="AA119">
        <v>3.7100000000000002E-3</v>
      </c>
      <c r="AB119">
        <v>4.5500000000000002E-3</v>
      </c>
      <c r="AC119">
        <v>0</v>
      </c>
      <c r="AD119">
        <v>6.1900000000000002E-3</v>
      </c>
      <c r="AE119">
        <v>0</v>
      </c>
      <c r="AF119">
        <v>-2.1099999999999999E-3</v>
      </c>
      <c r="AG119">
        <v>0</v>
      </c>
      <c r="AH119">
        <v>0</v>
      </c>
      <c r="AI119">
        <v>0</v>
      </c>
    </row>
    <row r="120" spans="1:35" x14ac:dyDescent="0.25">
      <c r="A120" s="1">
        <v>42429</v>
      </c>
      <c r="B120">
        <v>-5.4999999999999997E-3</v>
      </c>
      <c r="C120">
        <v>8.9999999999999998E-4</v>
      </c>
      <c r="D120">
        <v>-4.1283604302990717E-3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-2.8E-3</v>
      </c>
      <c r="L120">
        <v>0</v>
      </c>
      <c r="M120">
        <v>-3.1199999999999999E-3</v>
      </c>
      <c r="N120">
        <v>0</v>
      </c>
      <c r="O120">
        <v>0</v>
      </c>
      <c r="P120">
        <v>1.4599999999999999E-3</v>
      </c>
      <c r="Q120">
        <v>0</v>
      </c>
      <c r="R120">
        <v>4.8999999999999998E-4</v>
      </c>
      <c r="S120">
        <v>-4.5999999999999999E-3</v>
      </c>
      <c r="T120">
        <v>0</v>
      </c>
      <c r="U120">
        <v>0</v>
      </c>
      <c r="V120">
        <v>-6.8000000000000005E-4</v>
      </c>
      <c r="W120">
        <v>0</v>
      </c>
      <c r="X120">
        <v>0</v>
      </c>
      <c r="Y120">
        <v>0</v>
      </c>
      <c r="Z120">
        <v>0</v>
      </c>
      <c r="AA120">
        <v>-1.7099999999999999E-3</v>
      </c>
      <c r="AB120">
        <v>-4.0000000000000002E-4</v>
      </c>
      <c r="AC120">
        <v>0</v>
      </c>
      <c r="AD120">
        <v>2.47E-3</v>
      </c>
      <c r="AE120">
        <v>0</v>
      </c>
      <c r="AF120">
        <v>3.4199999999999999E-3</v>
      </c>
      <c r="AG120">
        <v>0</v>
      </c>
      <c r="AH120">
        <v>0</v>
      </c>
      <c r="AI120">
        <v>0</v>
      </c>
    </row>
    <row r="121" spans="1:35" x14ac:dyDescent="0.25">
      <c r="A121" s="1">
        <v>42460</v>
      </c>
      <c r="B121">
        <v>5.91E-2</v>
      </c>
      <c r="C121">
        <v>7.3700000000000002E-2</v>
      </c>
      <c r="D121">
        <v>6.5991114577365062E-2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7.6299999999999996E-3</v>
      </c>
      <c r="L121">
        <v>0</v>
      </c>
      <c r="M121">
        <v>8.4399999999999996E-3</v>
      </c>
      <c r="N121">
        <v>0</v>
      </c>
      <c r="O121">
        <v>0</v>
      </c>
      <c r="P121">
        <v>2.8400000000000001E-3</v>
      </c>
      <c r="Q121">
        <v>0</v>
      </c>
      <c r="R121">
        <v>8.3700000000000007E-3</v>
      </c>
      <c r="S121">
        <v>7.2399999999999999E-3</v>
      </c>
      <c r="T121">
        <v>0</v>
      </c>
      <c r="U121">
        <v>0</v>
      </c>
      <c r="V121" s="2">
        <v>6.0000000000000002E-5</v>
      </c>
      <c r="W121">
        <v>0</v>
      </c>
      <c r="X121">
        <v>0</v>
      </c>
      <c r="Y121">
        <v>0</v>
      </c>
      <c r="Z121">
        <v>0</v>
      </c>
      <c r="AA121">
        <v>2.5200000000000001E-3</v>
      </c>
      <c r="AB121">
        <v>7.3699999999999998E-3</v>
      </c>
      <c r="AC121">
        <v>0</v>
      </c>
      <c r="AD121">
        <v>6.0099999999999997E-3</v>
      </c>
      <c r="AE121">
        <v>0</v>
      </c>
      <c r="AF121">
        <v>8.6499999999999997E-3</v>
      </c>
      <c r="AG121">
        <v>0</v>
      </c>
      <c r="AH121">
        <v>0</v>
      </c>
      <c r="AI121">
        <v>0</v>
      </c>
    </row>
    <row r="122" spans="1:35" x14ac:dyDescent="0.25">
      <c r="A122" s="1">
        <v>42489</v>
      </c>
      <c r="B122">
        <v>-9.7000000000000003E-3</v>
      </c>
      <c r="C122">
        <v>1.4999999999999999E-2</v>
      </c>
      <c r="D122">
        <v>2.6993984808731941E-3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9.3000000000000005E-4</v>
      </c>
      <c r="L122">
        <v>0</v>
      </c>
      <c r="M122">
        <v>-4.8599999999999997E-3</v>
      </c>
      <c r="N122">
        <v>0</v>
      </c>
      <c r="O122">
        <v>0</v>
      </c>
      <c r="P122">
        <v>3.5899999999999999E-3</v>
      </c>
      <c r="Q122">
        <v>0</v>
      </c>
      <c r="R122">
        <v>-3.4299999999999999E-3</v>
      </c>
      <c r="S122">
        <v>6.4000000000000005E-4</v>
      </c>
      <c r="T122">
        <v>0</v>
      </c>
      <c r="U122">
        <v>0</v>
      </c>
      <c r="V122">
        <v>-4.1200000000000004E-3</v>
      </c>
      <c r="W122">
        <v>0</v>
      </c>
      <c r="X122">
        <v>0</v>
      </c>
      <c r="Y122">
        <v>0</v>
      </c>
      <c r="Z122">
        <v>0</v>
      </c>
      <c r="AA122">
        <v>-1.8500000000000001E-3</v>
      </c>
      <c r="AB122">
        <v>-3.15E-3</v>
      </c>
      <c r="AC122">
        <v>0</v>
      </c>
      <c r="AD122">
        <v>3.3E-4</v>
      </c>
      <c r="AE122">
        <v>0</v>
      </c>
      <c r="AF122">
        <v>2.16E-3</v>
      </c>
      <c r="AG122">
        <v>0</v>
      </c>
      <c r="AH122">
        <v>0</v>
      </c>
      <c r="AI122">
        <v>0</v>
      </c>
    </row>
    <row r="123" spans="1:35" x14ac:dyDescent="0.25">
      <c r="A123" s="1">
        <v>42521</v>
      </c>
      <c r="B123">
        <v>-5.3E-3</v>
      </c>
      <c r="C123">
        <v>1.7399999999999999E-2</v>
      </c>
      <c r="D123">
        <v>1.5324602357572603E-2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-7.2000000000000005E-4</v>
      </c>
      <c r="L123">
        <v>0</v>
      </c>
      <c r="M123">
        <v>1.09E-3</v>
      </c>
      <c r="N123">
        <v>0</v>
      </c>
      <c r="O123">
        <v>0</v>
      </c>
      <c r="P123">
        <v>1.2600000000000001E-3</v>
      </c>
      <c r="Q123">
        <v>0</v>
      </c>
      <c r="R123">
        <v>-4.4999999999999999E-4</v>
      </c>
      <c r="S123">
        <v>-3.5000000000000001E-3</v>
      </c>
      <c r="T123">
        <v>0</v>
      </c>
      <c r="U123">
        <v>0</v>
      </c>
      <c r="V123">
        <v>-6.3099999999999996E-3</v>
      </c>
      <c r="W123">
        <v>0</v>
      </c>
      <c r="X123">
        <v>0</v>
      </c>
      <c r="Y123">
        <v>0</v>
      </c>
      <c r="Z123">
        <v>0</v>
      </c>
      <c r="AA123">
        <v>1.15E-3</v>
      </c>
      <c r="AB123">
        <v>-2.0000000000000001E-4</v>
      </c>
      <c r="AC123">
        <v>0</v>
      </c>
      <c r="AD123">
        <v>8.4999999999999995E-4</v>
      </c>
      <c r="AE123">
        <v>0</v>
      </c>
      <c r="AF123">
        <v>1.5100000000000001E-3</v>
      </c>
      <c r="AG123">
        <v>0</v>
      </c>
      <c r="AH123">
        <v>0</v>
      </c>
      <c r="AI123">
        <v>0</v>
      </c>
    </row>
    <row r="124" spans="1:35" x14ac:dyDescent="0.25">
      <c r="A124" s="1">
        <v>42551</v>
      </c>
      <c r="B124">
        <v>5.1900000000000002E-2</v>
      </c>
      <c r="C124">
        <v>2.53E-2</v>
      </c>
      <c r="D124">
        <v>9.1092112097812539E-4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3.96E-3</v>
      </c>
      <c r="L124">
        <v>0</v>
      </c>
      <c r="M124">
        <v>8.8299999999999993E-3</v>
      </c>
      <c r="N124">
        <v>0</v>
      </c>
      <c r="O124">
        <v>0</v>
      </c>
      <c r="P124">
        <v>7.6400000000000001E-3</v>
      </c>
      <c r="Q124">
        <v>0</v>
      </c>
      <c r="R124">
        <v>2.4199999999999998E-3</v>
      </c>
      <c r="S124">
        <v>-6.8000000000000005E-4</v>
      </c>
      <c r="T124">
        <v>0</v>
      </c>
      <c r="U124">
        <v>0</v>
      </c>
      <c r="V124">
        <v>2.5000000000000001E-4</v>
      </c>
      <c r="W124">
        <v>0</v>
      </c>
      <c r="X124">
        <v>0</v>
      </c>
      <c r="Y124">
        <v>0</v>
      </c>
      <c r="Z124">
        <v>0</v>
      </c>
      <c r="AA124">
        <v>4.4799999999999996E-3</v>
      </c>
      <c r="AB124">
        <v>8.4700000000000001E-3</v>
      </c>
      <c r="AC124">
        <v>0</v>
      </c>
      <c r="AD124">
        <v>1.0370000000000001E-2</v>
      </c>
      <c r="AE124">
        <v>0</v>
      </c>
      <c r="AF124">
        <v>6.1000000000000004E-3</v>
      </c>
      <c r="AG124">
        <v>0</v>
      </c>
      <c r="AH124">
        <v>0</v>
      </c>
      <c r="AI124">
        <v>0</v>
      </c>
    </row>
    <row r="125" spans="1:35" x14ac:dyDescent="0.25">
      <c r="A125" s="1">
        <v>42580</v>
      </c>
      <c r="B125">
        <v>4.4999999999999997E-3</v>
      </c>
      <c r="C125">
        <v>2.8500000000000001E-2</v>
      </c>
      <c r="D125">
        <v>3.5609801125254359E-2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2.2100000000000002E-3</v>
      </c>
      <c r="L125">
        <v>0</v>
      </c>
      <c r="M125">
        <v>1.2E-4</v>
      </c>
      <c r="N125">
        <v>0</v>
      </c>
      <c r="O125">
        <v>0</v>
      </c>
      <c r="P125">
        <v>3.2399999999999998E-3</v>
      </c>
      <c r="Q125">
        <v>0</v>
      </c>
      <c r="R125">
        <v>-3.7499999999999999E-3</v>
      </c>
      <c r="S125">
        <v>-2.2399999999999998E-3</v>
      </c>
      <c r="T125">
        <v>0</v>
      </c>
      <c r="U125">
        <v>0</v>
      </c>
      <c r="V125">
        <v>5.4000000000000001E-4</v>
      </c>
      <c r="W125">
        <v>0</v>
      </c>
      <c r="X125">
        <v>0</v>
      </c>
      <c r="Y125">
        <v>0</v>
      </c>
      <c r="Z125">
        <v>0</v>
      </c>
      <c r="AA125">
        <v>1.8799999999999999E-3</v>
      </c>
      <c r="AB125">
        <v>-2.4000000000000001E-4</v>
      </c>
      <c r="AC125">
        <v>0</v>
      </c>
      <c r="AD125">
        <v>1.2999999999999999E-3</v>
      </c>
      <c r="AE125">
        <v>0</v>
      </c>
      <c r="AF125">
        <v>1.42E-3</v>
      </c>
      <c r="AG125">
        <v>0</v>
      </c>
      <c r="AH125">
        <v>0</v>
      </c>
      <c r="AI125">
        <v>0</v>
      </c>
    </row>
    <row r="126" spans="1:35" x14ac:dyDescent="0.25">
      <c r="A126" s="1">
        <v>42613</v>
      </c>
      <c r="B126">
        <v>-1.7299999999999999E-2</v>
      </c>
      <c r="C126">
        <v>2.9999999999999997E-4</v>
      </c>
      <c r="D126">
        <v>-1.2192431360480427E-3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-1.2E-4</v>
      </c>
      <c r="L126">
        <v>0</v>
      </c>
      <c r="M126">
        <v>-4.0499999999999998E-3</v>
      </c>
      <c r="N126">
        <v>0</v>
      </c>
      <c r="O126">
        <v>0</v>
      </c>
      <c r="P126">
        <v>-4.0600000000000002E-3</v>
      </c>
      <c r="Q126">
        <v>0</v>
      </c>
      <c r="R126">
        <v>-4.6000000000000001E-4</v>
      </c>
      <c r="S126">
        <v>-9.3999999999999997E-4</v>
      </c>
      <c r="T126">
        <v>0</v>
      </c>
      <c r="U126">
        <v>0</v>
      </c>
      <c r="V126">
        <v>3.8600000000000001E-3</v>
      </c>
      <c r="W126">
        <v>0</v>
      </c>
      <c r="X126">
        <v>0</v>
      </c>
      <c r="Y126">
        <v>0</v>
      </c>
      <c r="Z126">
        <v>0</v>
      </c>
      <c r="AA126">
        <v>2.0100000000000001E-3</v>
      </c>
      <c r="AB126">
        <v>-3.0100000000000001E-3</v>
      </c>
      <c r="AC126">
        <v>0</v>
      </c>
      <c r="AD126">
        <v>-5.5700000000000003E-3</v>
      </c>
      <c r="AE126">
        <v>0</v>
      </c>
      <c r="AF126">
        <v>-4.9899999999999996E-3</v>
      </c>
      <c r="AG126">
        <v>0</v>
      </c>
      <c r="AH126">
        <v>0</v>
      </c>
      <c r="AI126">
        <v>0</v>
      </c>
    </row>
    <row r="127" spans="1:35" x14ac:dyDescent="0.25">
      <c r="A127" s="1">
        <v>42643</v>
      </c>
      <c r="B127">
        <v>-6.1000000000000004E-3</v>
      </c>
      <c r="C127">
        <v>6.1000000000000004E-3</v>
      </c>
      <c r="D127">
        <v>-1.2344508443253854E-3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-2.7E-4</v>
      </c>
      <c r="L127">
        <v>0</v>
      </c>
      <c r="M127">
        <v>1.4999999999999999E-4</v>
      </c>
      <c r="N127">
        <v>0</v>
      </c>
      <c r="O127">
        <v>0</v>
      </c>
      <c r="P127">
        <v>-1.01E-3</v>
      </c>
      <c r="Q127">
        <v>0</v>
      </c>
      <c r="R127">
        <v>-1.75E-3</v>
      </c>
      <c r="S127">
        <v>-2.5999999999999998E-4</v>
      </c>
      <c r="T127">
        <v>0</v>
      </c>
      <c r="U127">
        <v>0</v>
      </c>
      <c r="V127">
        <v>-8.3800000000000003E-3</v>
      </c>
      <c r="W127">
        <v>0</v>
      </c>
      <c r="X127">
        <v>0</v>
      </c>
      <c r="Y127">
        <v>0</v>
      </c>
      <c r="Z127">
        <v>0</v>
      </c>
      <c r="AA127">
        <v>2.7899999999999999E-3</v>
      </c>
      <c r="AB127" s="2">
        <v>-6.0000000000000002E-5</v>
      </c>
      <c r="AC127">
        <v>0</v>
      </c>
      <c r="AD127">
        <v>-6.6E-4</v>
      </c>
      <c r="AE127">
        <v>0</v>
      </c>
      <c r="AF127">
        <v>3.3600000000000001E-3</v>
      </c>
      <c r="AG127">
        <v>0</v>
      </c>
      <c r="AH127">
        <v>0</v>
      </c>
      <c r="AI127">
        <v>0</v>
      </c>
    </row>
    <row r="128" spans="1:35" x14ac:dyDescent="0.25">
      <c r="A128" s="1">
        <v>42674</v>
      </c>
      <c r="B128">
        <v>-0.02</v>
      </c>
      <c r="C128">
        <v>-1.03E-2</v>
      </c>
      <c r="D128">
        <v>-1.9425679279557517E-2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-3.2200000000000002E-3</v>
      </c>
      <c r="L128">
        <v>0</v>
      </c>
      <c r="M128">
        <v>1.25E-3</v>
      </c>
      <c r="N128">
        <v>0</v>
      </c>
      <c r="O128">
        <v>0</v>
      </c>
      <c r="P128">
        <v>-1.81E-3</v>
      </c>
      <c r="Q128">
        <v>0</v>
      </c>
      <c r="R128">
        <v>1.9000000000000001E-4</v>
      </c>
      <c r="S128">
        <v>-2.4199999999999998E-3</v>
      </c>
      <c r="T128">
        <v>0</v>
      </c>
      <c r="U128">
        <v>0</v>
      </c>
      <c r="V128">
        <v>-4.6899999999999997E-3</v>
      </c>
      <c r="W128">
        <v>0</v>
      </c>
      <c r="X128">
        <v>0</v>
      </c>
      <c r="Y128">
        <v>0</v>
      </c>
      <c r="Z128">
        <v>0</v>
      </c>
      <c r="AA128">
        <v>-2.5400000000000002E-3</v>
      </c>
      <c r="AB128">
        <v>5.2999999999999998E-4</v>
      </c>
      <c r="AC128">
        <v>0</v>
      </c>
      <c r="AD128">
        <v>-8.2199999999999999E-3</v>
      </c>
      <c r="AE128">
        <v>0</v>
      </c>
      <c r="AF128">
        <v>9.5E-4</v>
      </c>
      <c r="AG128">
        <v>0</v>
      </c>
      <c r="AH128">
        <v>0</v>
      </c>
      <c r="AI128">
        <v>0</v>
      </c>
    </row>
    <row r="129" spans="1:35" x14ac:dyDescent="0.25">
      <c r="A129" s="1">
        <v>42704</v>
      </c>
      <c r="B129">
        <v>-6.7000000000000002E-3</v>
      </c>
      <c r="C129">
        <v>4.7500000000000001E-2</v>
      </c>
      <c r="D129">
        <v>3.4174522187570444E-2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-8.5900000000000004E-3</v>
      </c>
      <c r="L129">
        <v>0</v>
      </c>
      <c r="M129">
        <v>-1.6100000000000001E-3</v>
      </c>
      <c r="N129">
        <v>0</v>
      </c>
      <c r="O129">
        <v>0</v>
      </c>
      <c r="P129">
        <v>-3.3500000000000001E-3</v>
      </c>
      <c r="Q129">
        <v>0</v>
      </c>
      <c r="R129">
        <v>-4.0099999999999997E-3</v>
      </c>
      <c r="S129">
        <v>6.79E-3</v>
      </c>
      <c r="T129">
        <v>0</v>
      </c>
      <c r="U129">
        <v>0</v>
      </c>
      <c r="V129">
        <v>-2.2000000000000001E-4</v>
      </c>
      <c r="W129">
        <v>0</v>
      </c>
      <c r="X129">
        <v>0</v>
      </c>
      <c r="Y129">
        <v>0</v>
      </c>
      <c r="Z129">
        <v>0</v>
      </c>
      <c r="AA129">
        <v>-5.0000000000000001E-3</v>
      </c>
      <c r="AB129">
        <v>-8.1200000000000005E-3</v>
      </c>
      <c r="AC129">
        <v>0</v>
      </c>
      <c r="AD129">
        <v>5.0000000000000001E-3</v>
      </c>
      <c r="AE129">
        <v>0</v>
      </c>
      <c r="AF129">
        <v>1.2460000000000001E-2</v>
      </c>
      <c r="AG129">
        <v>0</v>
      </c>
      <c r="AH129">
        <v>0</v>
      </c>
      <c r="AI129">
        <v>0</v>
      </c>
    </row>
    <row r="130" spans="1:35" x14ac:dyDescent="0.25">
      <c r="A130" s="1">
        <v>42734</v>
      </c>
      <c r="B130">
        <v>3.32E-2</v>
      </c>
      <c r="C130">
        <v>2.6700000000000002E-2</v>
      </c>
      <c r="D130">
        <v>1.8200762196895148E-2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3.2000000000000003E-4</v>
      </c>
      <c r="L130">
        <v>0</v>
      </c>
      <c r="M130">
        <v>4.4999999999999997E-3</v>
      </c>
      <c r="N130">
        <v>0</v>
      </c>
      <c r="O130">
        <v>0</v>
      </c>
      <c r="P130">
        <v>3.5100000000000001E-3</v>
      </c>
      <c r="Q130">
        <v>0</v>
      </c>
      <c r="R130">
        <v>2.7499999999999998E-3</v>
      </c>
      <c r="S130">
        <v>2.0500000000000002E-3</v>
      </c>
      <c r="T130">
        <v>0</v>
      </c>
      <c r="U130">
        <v>0</v>
      </c>
      <c r="V130">
        <v>1.8799999999999999E-3</v>
      </c>
      <c r="W130">
        <v>0</v>
      </c>
      <c r="X130">
        <v>0</v>
      </c>
      <c r="Y130">
        <v>0</v>
      </c>
      <c r="Z130">
        <v>0</v>
      </c>
      <c r="AA130">
        <v>1.9599999999999999E-3</v>
      </c>
      <c r="AB130">
        <v>5.0600000000000003E-3</v>
      </c>
      <c r="AC130">
        <v>0</v>
      </c>
      <c r="AD130">
        <v>1.01E-2</v>
      </c>
      <c r="AE130">
        <v>0</v>
      </c>
      <c r="AF130">
        <v>1.09E-3</v>
      </c>
      <c r="AG130">
        <v>0</v>
      </c>
      <c r="AH130">
        <v>0</v>
      </c>
      <c r="AI130">
        <v>0</v>
      </c>
    </row>
    <row r="131" spans="1:35" x14ac:dyDescent="0.25">
      <c r="A131" s="10">
        <f>YEAR(A130)</f>
        <v>2016</v>
      </c>
      <c r="B131" s="5" cm="1">
        <f t="array" ref="B131">PRODUCT(1+B119:B130)-1</f>
        <v>0.10544860941519141</v>
      </c>
      <c r="C131" s="5" cm="1">
        <f t="array" ref="C131">PRODUCT(1+C119:C130)-1</f>
        <v>0.206465388887205</v>
      </c>
      <c r="D131" s="5" cm="1">
        <f t="array" ref="D131">PRODUCT(1+D119:D130)-1</f>
        <v>9.5350226829389984E-2</v>
      </c>
      <c r="E131" s="5" cm="1">
        <f t="array" ref="E131">PRODUCT(1+E119:E130)-1</f>
        <v>0</v>
      </c>
      <c r="F131" s="5" cm="1">
        <f t="array" ref="F131">PRODUCT(1+F119:F130)-1</f>
        <v>0</v>
      </c>
      <c r="G131" s="5" cm="1">
        <f t="array" ref="G131">PRODUCT(1+G119:G130)-1</f>
        <v>0</v>
      </c>
      <c r="H131" s="5" cm="1">
        <f t="array" ref="H131">PRODUCT(1+H119:H130)-1</f>
        <v>0</v>
      </c>
      <c r="I131" s="5" cm="1">
        <f t="array" ref="I131">PRODUCT(1+I119:I130)-1</f>
        <v>0</v>
      </c>
      <c r="J131" s="5" cm="1">
        <f t="array" ref="J131">PRODUCT(1+J119:J130)-1</f>
        <v>0</v>
      </c>
      <c r="K131" s="5" cm="1">
        <f t="array" ref="K131">PRODUCT(1+K119:K130)-1</f>
        <v>1.1825837431507225E-3</v>
      </c>
      <c r="L131" s="5" cm="1">
        <f t="array" ref="L131">PRODUCT(1+L119:L130)-1</f>
        <v>0</v>
      </c>
      <c r="M131" s="5" cm="1">
        <f t="array" ref="M131">PRODUCT(1+M119:M130)-1</f>
        <v>1.7456358776837932E-2</v>
      </c>
      <c r="N131" s="5" cm="1">
        <f t="array" ref="N131">PRODUCT(1+N119:N130)-1</f>
        <v>0</v>
      </c>
      <c r="O131" s="5" cm="1">
        <f t="array" ref="O131">PRODUCT(1+O119:O130)-1</f>
        <v>0</v>
      </c>
      <c r="P131" s="5" cm="1">
        <f t="array" ref="P131">PRODUCT(1+P119:P130)-1</f>
        <v>1.5021542878322469E-2</v>
      </c>
      <c r="Q131" s="5" cm="1">
        <f t="array" ref="Q131">PRODUCT(1+Q119:Q130)-1</f>
        <v>0</v>
      </c>
      <c r="R131" s="5" cm="1">
        <f t="array" ref="R131">PRODUCT(1+R119:R130)-1</f>
        <v>2.1560252983232608E-4</v>
      </c>
      <c r="S131" s="5" cm="1">
        <f t="array" ref="S131">PRODUCT(1+S119:S130)-1</f>
        <v>6.7873510994567177E-3</v>
      </c>
      <c r="T131" s="5" cm="1">
        <f t="array" ref="T131">PRODUCT(1+T119:T130)-1</f>
        <v>0</v>
      </c>
      <c r="U131" s="5" cm="1">
        <f t="array" ref="U131">PRODUCT(1+U119:U130)-1</f>
        <v>0</v>
      </c>
      <c r="V131" s="5" cm="1">
        <f t="array" ref="V131">PRODUCT(1+V119:V130)-1</f>
        <v>-1.8501485994497302E-2</v>
      </c>
      <c r="W131" s="5" cm="1">
        <f t="array" ref="W131">PRODUCT(1+W119:W130)-1</f>
        <v>0</v>
      </c>
      <c r="X131" s="5" cm="1">
        <f t="array" ref="X131">PRODUCT(1+X119:X130)-1</f>
        <v>0</v>
      </c>
      <c r="Y131" s="5" cm="1">
        <f t="array" ref="Y131">PRODUCT(1+Y119:Y130)-1</f>
        <v>0</v>
      </c>
      <c r="Z131" s="5" cm="1">
        <f t="array" ref="Z131">PRODUCT(1+Z119:Z130)-1</f>
        <v>0</v>
      </c>
      <c r="AA131" s="5" cm="1">
        <f t="array" ref="AA131">PRODUCT(1+AA119:AA130)-1</f>
        <v>9.3946183162347818E-3</v>
      </c>
      <c r="AB131" s="5" cm="1">
        <f t="array" ref="AB131">PRODUCT(1+AB119:AB130)-1</f>
        <v>1.0728439073559359E-2</v>
      </c>
      <c r="AC131" s="5" cm="1">
        <f t="array" ref="AC131">PRODUCT(1+AC119:AC130)-1</f>
        <v>0</v>
      </c>
      <c r="AD131" s="5" cm="1">
        <f t="array" ref="AD131">PRODUCT(1+AD119:AD130)-1</f>
        <v>2.8356962485182713E-2</v>
      </c>
      <c r="AE131" s="5" cm="1">
        <f t="array" ref="AE131">PRODUCT(1+AE119:AE130)-1</f>
        <v>0</v>
      </c>
      <c r="AF131" s="5" cm="1">
        <f t="array" ref="AF131">PRODUCT(1+AF119:AF130)-1</f>
        <v>3.443520113544829E-2</v>
      </c>
      <c r="AG131" s="5" cm="1">
        <f t="array" ref="AG131">PRODUCT(1+AG119:AG130)-1</f>
        <v>0</v>
      </c>
      <c r="AH131" s="5" cm="1">
        <f t="array" ref="AH131">PRODUCT(1+AH119:AH130)-1</f>
        <v>0</v>
      </c>
      <c r="AI131" s="5" cm="1">
        <f t="array" ref="AI131">PRODUCT(1+AI119:AI130)-1</f>
        <v>0</v>
      </c>
    </row>
    <row r="132" spans="1:35" x14ac:dyDescent="0.25">
      <c r="A132" s="1">
        <v>42766</v>
      </c>
      <c r="B132">
        <v>1.7600000000000001E-2</v>
      </c>
      <c r="C132">
        <v>8.6E-3</v>
      </c>
      <c r="D132">
        <v>1.7884358171464498E-2</v>
      </c>
      <c r="E132">
        <v>4.7699999999999999E-3</v>
      </c>
      <c r="F132">
        <v>9.8200000000000006E-3</v>
      </c>
      <c r="G132">
        <v>0</v>
      </c>
      <c r="H132">
        <v>2.4399999999999999E-3</v>
      </c>
      <c r="I132">
        <v>-1.72E-3</v>
      </c>
      <c r="J132">
        <v>3.98E-3</v>
      </c>
      <c r="K132">
        <v>0</v>
      </c>
      <c r="L132">
        <v>-2.7499999999999998E-3</v>
      </c>
      <c r="M132">
        <v>0</v>
      </c>
      <c r="N132">
        <v>6.1700000000000001E-3</v>
      </c>
      <c r="O132">
        <v>-6.0099999999999997E-3</v>
      </c>
      <c r="P132">
        <v>0</v>
      </c>
      <c r="Q132">
        <v>-1.3699999999999999E-3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2.2899999999999999E-3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</row>
    <row r="133" spans="1:35" x14ac:dyDescent="0.25">
      <c r="A133" s="1">
        <v>42794</v>
      </c>
      <c r="B133">
        <v>2.86E-2</v>
      </c>
      <c r="C133">
        <v>3.1899999999999998E-2</v>
      </c>
      <c r="D133">
        <v>3.7198160337279074E-2</v>
      </c>
      <c r="E133">
        <v>1.336E-2</v>
      </c>
      <c r="F133">
        <v>2.6199999999999999E-3</v>
      </c>
      <c r="G133">
        <v>0</v>
      </c>
      <c r="H133">
        <v>9.0100000000000006E-3</v>
      </c>
      <c r="I133">
        <v>3.5999999999999999E-3</v>
      </c>
      <c r="J133">
        <v>1.0499999999999999E-3</v>
      </c>
      <c r="K133">
        <v>0</v>
      </c>
      <c r="L133">
        <v>-1.9E-3</v>
      </c>
      <c r="M133">
        <v>0</v>
      </c>
      <c r="N133">
        <v>-5.1000000000000004E-4</v>
      </c>
      <c r="O133">
        <v>1.1800000000000001E-3</v>
      </c>
      <c r="P133">
        <v>0</v>
      </c>
      <c r="Q133">
        <v>7.0800000000000004E-3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-6.9199999999999999E-3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</row>
    <row r="134" spans="1:35" x14ac:dyDescent="0.25">
      <c r="A134" s="1">
        <v>42825</v>
      </c>
      <c r="B134">
        <v>1.3299999999999999E-2</v>
      </c>
      <c r="C134">
        <v>3.8E-3</v>
      </c>
      <c r="D134">
        <v>-3.8919718808450021E-4</v>
      </c>
      <c r="E134">
        <v>4.8700000000000002E-3</v>
      </c>
      <c r="F134">
        <v>4.9100000000000003E-3</v>
      </c>
      <c r="G134">
        <v>0</v>
      </c>
      <c r="H134">
        <v>-4.1099999999999999E-3</v>
      </c>
      <c r="I134">
        <v>-3.6999999999999999E-4</v>
      </c>
      <c r="J134">
        <v>-4.0299999999999997E-3</v>
      </c>
      <c r="K134">
        <v>0</v>
      </c>
      <c r="L134">
        <v>4.8399999999999997E-3</v>
      </c>
      <c r="M134">
        <v>0</v>
      </c>
      <c r="N134">
        <v>3.0000000000000001E-3</v>
      </c>
      <c r="O134" s="2">
        <v>-3.0000000000000001E-5</v>
      </c>
      <c r="P134">
        <v>0</v>
      </c>
      <c r="Q134">
        <v>-3.0699999999999998E-3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7.3400000000000002E-3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</row>
    <row r="135" spans="1:35" x14ac:dyDescent="0.25">
      <c r="A135" s="1">
        <v>42853</v>
      </c>
      <c r="B135">
        <v>5.3E-3</v>
      </c>
      <c r="C135">
        <v>6.7000000000000002E-3</v>
      </c>
      <c r="D135">
        <v>9.0912085493182193E-3</v>
      </c>
      <c r="E135" s="2">
        <v>-1.0000000000000001E-5</v>
      </c>
      <c r="F135">
        <v>4.3400000000000001E-3</v>
      </c>
      <c r="G135">
        <v>0</v>
      </c>
      <c r="H135">
        <v>-1.06E-3</v>
      </c>
      <c r="I135">
        <v>2.7999999999999998E-4</v>
      </c>
      <c r="J135">
        <v>1.107E-2</v>
      </c>
      <c r="K135">
        <v>0</v>
      </c>
      <c r="L135">
        <v>-3.9300000000000003E-3</v>
      </c>
      <c r="M135">
        <v>0</v>
      </c>
      <c r="N135">
        <v>1.9499999999999999E-3</v>
      </c>
      <c r="O135">
        <v>-2.7200000000000002E-3</v>
      </c>
      <c r="P135">
        <v>0</v>
      </c>
      <c r="Q135">
        <v>-3.8999999999999999E-4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-4.2500000000000003E-3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</row>
    <row r="136" spans="1:35" x14ac:dyDescent="0.25">
      <c r="A136" s="1">
        <v>42886</v>
      </c>
      <c r="B136">
        <v>3.4799999999999998E-2</v>
      </c>
      <c r="C136">
        <v>2.3300000000000001E-2</v>
      </c>
      <c r="D136">
        <v>1.157625139134133E-2</v>
      </c>
      <c r="E136">
        <v>6.7799999999999996E-3</v>
      </c>
      <c r="F136">
        <v>7.5300000000000002E-3</v>
      </c>
      <c r="G136">
        <v>0</v>
      </c>
      <c r="H136">
        <v>-3.6600000000000001E-3</v>
      </c>
      <c r="I136">
        <v>6.4200000000000004E-3</v>
      </c>
      <c r="J136">
        <v>3.0999999999999999E-3</v>
      </c>
      <c r="K136">
        <v>0</v>
      </c>
      <c r="L136">
        <v>-6.1700000000000001E-3</v>
      </c>
      <c r="M136">
        <v>0</v>
      </c>
      <c r="N136">
        <v>-6.6299999999999996E-3</v>
      </c>
      <c r="O136">
        <v>-5.5500000000000002E-3</v>
      </c>
      <c r="P136">
        <v>0</v>
      </c>
      <c r="Q136">
        <v>-5.5700000000000003E-3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3.8530000000000002E-2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</row>
    <row r="137" spans="1:35" x14ac:dyDescent="0.25">
      <c r="A137" s="1">
        <v>42916</v>
      </c>
      <c r="B137">
        <v>1.3299999999999999E-2</v>
      </c>
      <c r="C137">
        <v>1.41E-2</v>
      </c>
      <c r="D137">
        <v>4.8137750908554544E-3</v>
      </c>
      <c r="E137">
        <v>-5.7200000000000003E-3</v>
      </c>
      <c r="F137">
        <v>-2.6800000000000001E-3</v>
      </c>
      <c r="G137">
        <v>0</v>
      </c>
      <c r="H137">
        <v>8.26E-3</v>
      </c>
      <c r="I137">
        <v>3.8300000000000001E-3</v>
      </c>
      <c r="J137">
        <v>1.9300000000000001E-3</v>
      </c>
      <c r="K137">
        <v>0</v>
      </c>
      <c r="L137">
        <v>-1.6299999999999999E-3</v>
      </c>
      <c r="M137">
        <v>0</v>
      </c>
      <c r="N137">
        <v>-1.57E-3</v>
      </c>
      <c r="O137">
        <v>-4.6999999999999999E-4</v>
      </c>
      <c r="P137">
        <v>0</v>
      </c>
      <c r="Q137">
        <v>1.1259999999999999E-2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1.4999999999999999E-4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</row>
    <row r="138" spans="1:35" x14ac:dyDescent="0.25">
      <c r="A138" s="1">
        <v>42947</v>
      </c>
      <c r="B138">
        <v>2.87E-2</v>
      </c>
      <c r="C138">
        <v>2.2800000000000001E-2</v>
      </c>
      <c r="D138">
        <v>1.9348826118030571E-2</v>
      </c>
      <c r="E138">
        <v>3.2699999999999999E-3</v>
      </c>
      <c r="F138">
        <v>2.0400000000000001E-3</v>
      </c>
      <c r="G138">
        <v>0</v>
      </c>
      <c r="H138">
        <v>-5.8E-4</v>
      </c>
      <c r="I138">
        <v>9.7999999999999997E-4</v>
      </c>
      <c r="J138">
        <v>6.77E-3</v>
      </c>
      <c r="K138">
        <v>0</v>
      </c>
      <c r="L138">
        <v>3.81E-3</v>
      </c>
      <c r="M138">
        <v>0</v>
      </c>
      <c r="N138">
        <v>4.1999999999999997E-3</v>
      </c>
      <c r="O138">
        <v>-5.1799999999999997E-3</v>
      </c>
      <c r="P138">
        <v>0</v>
      </c>
      <c r="Q138">
        <v>9.7999999999999997E-4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1.242E-2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</row>
    <row r="139" spans="1:35" x14ac:dyDescent="0.25">
      <c r="A139" s="1">
        <v>42978</v>
      </c>
      <c r="B139">
        <v>-1.1000000000000001E-3</v>
      </c>
      <c r="C139">
        <v>2.7000000000000001E-3</v>
      </c>
      <c r="D139">
        <v>5.4643281108557318E-4</v>
      </c>
      <c r="E139">
        <v>1.069E-2</v>
      </c>
      <c r="F139">
        <v>-7.2999999999999996E-4</v>
      </c>
      <c r="G139">
        <v>0</v>
      </c>
      <c r="H139">
        <v>-4.6000000000000001E-4</v>
      </c>
      <c r="I139">
        <v>-1.1800000000000001E-3</v>
      </c>
      <c r="J139">
        <v>3.1099999999999999E-3</v>
      </c>
      <c r="K139">
        <v>0</v>
      </c>
      <c r="L139">
        <v>-3.7699999999999999E-3</v>
      </c>
      <c r="M139">
        <v>0</v>
      </c>
      <c r="N139">
        <v>-7.9399999999999991E-3</v>
      </c>
      <c r="O139">
        <v>-4.1399999999999996E-3</v>
      </c>
      <c r="P139">
        <v>0</v>
      </c>
      <c r="Q139">
        <v>-9.8999999999999999E-4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4.3499999999999997E-3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</row>
    <row r="140" spans="1:35" x14ac:dyDescent="0.25">
      <c r="A140" s="1">
        <v>43007</v>
      </c>
      <c r="B140">
        <v>3.3000000000000002E-2</v>
      </c>
      <c r="C140">
        <v>2.3800000000000002E-2</v>
      </c>
      <c r="D140">
        <v>1.9302978533243698E-2</v>
      </c>
      <c r="E140">
        <v>-6.0200000000000002E-3</v>
      </c>
      <c r="F140">
        <v>-1.9599999999999999E-3</v>
      </c>
      <c r="G140">
        <v>0</v>
      </c>
      <c r="H140">
        <v>6.0699999999999999E-3</v>
      </c>
      <c r="I140">
        <v>6.7000000000000002E-3</v>
      </c>
      <c r="J140">
        <v>6.1500000000000001E-3</v>
      </c>
      <c r="K140">
        <v>0</v>
      </c>
      <c r="L140">
        <v>1.464E-2</v>
      </c>
      <c r="M140">
        <v>0</v>
      </c>
      <c r="N140">
        <v>-2.5999999999999999E-3</v>
      </c>
      <c r="O140">
        <v>-5.2999999999999998E-4</v>
      </c>
      <c r="P140">
        <v>0</v>
      </c>
      <c r="Q140">
        <v>5.0800000000000003E-3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5.5100000000000001E-3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</row>
    <row r="141" spans="1:35" x14ac:dyDescent="0.25">
      <c r="A141" s="1">
        <v>43039</v>
      </c>
      <c r="B141">
        <v>5.45E-2</v>
      </c>
      <c r="C141">
        <v>3.56E-2</v>
      </c>
      <c r="D141">
        <v>2.218813533034969E-2</v>
      </c>
      <c r="E141">
        <v>9.6799999999999994E-3</v>
      </c>
      <c r="F141">
        <v>1.4970000000000001E-2</v>
      </c>
      <c r="G141">
        <v>0</v>
      </c>
      <c r="H141">
        <v>8.09E-3</v>
      </c>
      <c r="I141">
        <v>5.3099999999999996E-3</v>
      </c>
      <c r="J141">
        <v>9.5200000000000007E-3</v>
      </c>
      <c r="K141">
        <v>0</v>
      </c>
      <c r="L141">
        <v>2.7299999999999998E-3</v>
      </c>
      <c r="M141">
        <v>0</v>
      </c>
      <c r="N141">
        <v>-7.6999999999999996E-4</v>
      </c>
      <c r="O141">
        <v>-1.6629999999999999E-2</v>
      </c>
      <c r="P141">
        <v>0</v>
      </c>
      <c r="Q141">
        <v>5.9300000000000004E-3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1.5679999999999999E-2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</row>
    <row r="142" spans="1:35" x14ac:dyDescent="0.25">
      <c r="A142" s="1">
        <v>43069</v>
      </c>
      <c r="B142">
        <v>2.0500000000000001E-2</v>
      </c>
      <c r="C142">
        <v>3.3300000000000003E-2</v>
      </c>
      <c r="D142">
        <v>2.808262766445857E-2</v>
      </c>
      <c r="E142">
        <v>2.0400000000000001E-3</v>
      </c>
      <c r="F142">
        <v>6.4700000000000001E-3</v>
      </c>
      <c r="G142">
        <v>0</v>
      </c>
      <c r="H142">
        <v>3.29E-3</v>
      </c>
      <c r="I142">
        <v>6.45E-3</v>
      </c>
      <c r="J142">
        <v>3.9399999999999999E-3</v>
      </c>
      <c r="K142">
        <v>0</v>
      </c>
      <c r="L142">
        <v>-5.2999999999999998E-4</v>
      </c>
      <c r="M142">
        <v>0</v>
      </c>
      <c r="N142">
        <v>7.1700000000000002E-3</v>
      </c>
      <c r="O142">
        <v>-9.2800000000000001E-3</v>
      </c>
      <c r="P142">
        <v>0</v>
      </c>
      <c r="Q142">
        <v>3.8899999999999998E-3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-2.8800000000000002E-3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</row>
    <row r="143" spans="1:35" x14ac:dyDescent="0.25">
      <c r="A143" s="1">
        <v>43098</v>
      </c>
      <c r="B143">
        <v>2.3300000000000001E-2</v>
      </c>
      <c r="C143">
        <v>1.46E-2</v>
      </c>
      <c r="D143">
        <v>9.8316304826040479E-3</v>
      </c>
      <c r="E143">
        <v>-1.5200000000000001E-3</v>
      </c>
      <c r="F143">
        <v>-6.2E-4</v>
      </c>
      <c r="G143">
        <v>0</v>
      </c>
      <c r="H143">
        <v>4.79E-3</v>
      </c>
      <c r="I143">
        <v>3.0000000000000001E-3</v>
      </c>
      <c r="J143">
        <v>1.1639999999999999E-2</v>
      </c>
      <c r="K143">
        <v>0</v>
      </c>
      <c r="L143">
        <v>7.8799999999999999E-3</v>
      </c>
      <c r="M143">
        <v>0</v>
      </c>
      <c r="N143">
        <v>3.3700000000000002E-3</v>
      </c>
      <c r="O143">
        <v>-3.9399999999999999E-3</v>
      </c>
      <c r="P143">
        <v>0</v>
      </c>
      <c r="Q143">
        <v>2.32E-3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-3.5899999999999999E-3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</row>
    <row r="144" spans="1:35" x14ac:dyDescent="0.25">
      <c r="A144" s="10">
        <f>YEAR(A143)</f>
        <v>2017</v>
      </c>
      <c r="B144" s="5" cm="1">
        <f t="array" ref="B144">PRODUCT(1+B132:B143)-1</f>
        <v>0.30684911449737529</v>
      </c>
      <c r="C144" s="5" cm="1">
        <f t="array" ref="C144">PRODUCT(1+C132:C143)-1</f>
        <v>0.24416443224872642</v>
      </c>
      <c r="D144" s="5" cm="1">
        <f t="array" ref="D144">PRODUCT(1+D132:D143)-1</f>
        <v>0.1941996551111187</v>
      </c>
      <c r="E144" s="5" cm="1">
        <f t="array" ref="E144">PRODUCT(1+E132:E143)-1</f>
        <v>4.2799612442227186E-2</v>
      </c>
      <c r="F144" s="5" cm="1">
        <f t="array" ref="F144">PRODUCT(1+F132:F143)-1</f>
        <v>4.7565827843125463E-2</v>
      </c>
      <c r="G144" s="5" cm="1">
        <f t="array" ref="G144">PRODUCT(1+G132:G143)-1</f>
        <v>0</v>
      </c>
      <c r="H144" s="5" cm="1">
        <f t="array" ref="H144">PRODUCT(1+H132:H143)-1</f>
        <v>3.2433875489991992E-2</v>
      </c>
      <c r="I144" s="5" cm="1">
        <f t="array" ref="I144">PRODUCT(1+I132:I143)-1</f>
        <v>3.375865244426568E-2</v>
      </c>
      <c r="J144" s="5" cm="1">
        <f t="array" ref="J144">PRODUCT(1+J132:J143)-1</f>
        <v>5.9693229396308611E-2</v>
      </c>
      <c r="K144" s="5" cm="1">
        <f t="array" ref="K144">PRODUCT(1+K132:K143)-1</f>
        <v>0</v>
      </c>
      <c r="L144" s="5" cm="1">
        <f t="array" ref="L144">PRODUCT(1+L132:L143)-1</f>
        <v>1.3104424274357207E-2</v>
      </c>
      <c r="M144" s="5" cm="1">
        <f t="array" ref="M144">PRODUCT(1+M132:M143)-1</f>
        <v>0</v>
      </c>
      <c r="N144" s="5" cm="1">
        <f t="array" ref="N144">PRODUCT(1+N132:N143)-1</f>
        <v>5.7321646351256028E-3</v>
      </c>
      <c r="O144" s="5" cm="1">
        <f t="array" ref="O144">PRODUCT(1+O132:O143)-1</f>
        <v>-5.2142629440436794E-2</v>
      </c>
      <c r="P144" s="5" cm="1">
        <f t="array" ref="P144">PRODUCT(1+P132:P143)-1</f>
        <v>0</v>
      </c>
      <c r="Q144" s="5" cm="1">
        <f t="array" ref="Q144">PRODUCT(1+Q132:Q143)-1</f>
        <v>2.5314349560810356E-2</v>
      </c>
      <c r="R144" s="5" cm="1">
        <f t="array" ref="R144">PRODUCT(1+R132:R143)-1</f>
        <v>0</v>
      </c>
      <c r="S144" s="5" cm="1">
        <f t="array" ref="S144">PRODUCT(1+S132:S143)-1</f>
        <v>0</v>
      </c>
      <c r="T144" s="5" cm="1">
        <f t="array" ref="T144">PRODUCT(1+T132:T143)-1</f>
        <v>0</v>
      </c>
      <c r="U144" s="5" cm="1">
        <f t="array" ref="U144">PRODUCT(1+U132:U143)-1</f>
        <v>0</v>
      </c>
      <c r="V144" s="5" cm="1">
        <f t="array" ref="V144">PRODUCT(1+V132:V143)-1</f>
        <v>0</v>
      </c>
      <c r="W144" s="5" cm="1">
        <f t="array" ref="W144">PRODUCT(1+W132:W143)-1</f>
        <v>0</v>
      </c>
      <c r="X144" s="5" cm="1">
        <f t="array" ref="X144">PRODUCT(1+X132:X143)-1</f>
        <v>6.9948348528748872E-2</v>
      </c>
      <c r="Y144" s="5" cm="1">
        <f t="array" ref="Y144">PRODUCT(1+Y132:Y143)-1</f>
        <v>0</v>
      </c>
      <c r="Z144" s="5" cm="1">
        <f t="array" ref="Z144">PRODUCT(1+Z132:Z143)-1</f>
        <v>0</v>
      </c>
      <c r="AA144" s="5" cm="1">
        <f t="array" ref="AA144">PRODUCT(1+AA132:AA143)-1</f>
        <v>0</v>
      </c>
      <c r="AB144" s="5" cm="1">
        <f t="array" ref="AB144">PRODUCT(1+AB132:AB143)-1</f>
        <v>0</v>
      </c>
      <c r="AC144" s="5" cm="1">
        <f t="array" ref="AC144">PRODUCT(1+AC132:AC143)-1</f>
        <v>0</v>
      </c>
      <c r="AD144" s="5" cm="1">
        <f t="array" ref="AD144">PRODUCT(1+AD132:AD143)-1</f>
        <v>0</v>
      </c>
      <c r="AE144" s="5" cm="1">
        <f t="array" ref="AE144">PRODUCT(1+AE132:AE143)-1</f>
        <v>0</v>
      </c>
      <c r="AF144" s="5" cm="1">
        <f t="array" ref="AF144">PRODUCT(1+AF132:AF143)-1</f>
        <v>0</v>
      </c>
      <c r="AG144" s="5" cm="1">
        <f t="array" ref="AG144">PRODUCT(1+AG132:AG143)-1</f>
        <v>0</v>
      </c>
      <c r="AH144" s="5" cm="1">
        <f t="array" ref="AH144">PRODUCT(1+AH132:AH143)-1</f>
        <v>0</v>
      </c>
      <c r="AI144" s="5" cm="1">
        <f t="array" ref="AI144">PRODUCT(1+AI132:AI143)-1</f>
        <v>0</v>
      </c>
    </row>
    <row r="145" spans="1:35" x14ac:dyDescent="0.25">
      <c r="A145" s="1">
        <v>43131</v>
      </c>
      <c r="B145">
        <v>0.1087</v>
      </c>
      <c r="C145">
        <v>5.0900000000000001E-2</v>
      </c>
      <c r="D145">
        <v>5.6178704444133087E-2</v>
      </c>
      <c r="E145">
        <v>-1.06E-3</v>
      </c>
      <c r="F145">
        <v>2.4060000000000002E-2</v>
      </c>
      <c r="G145">
        <v>2.0160000000000001E-2</v>
      </c>
      <c r="H145">
        <v>8.3999999999999995E-3</v>
      </c>
      <c r="I145">
        <v>9.3600000000000003E-3</v>
      </c>
      <c r="J145">
        <v>3.79E-3</v>
      </c>
      <c r="K145">
        <v>0</v>
      </c>
      <c r="L145">
        <v>7.1399999999999996E-3</v>
      </c>
      <c r="M145">
        <v>0</v>
      </c>
      <c r="N145">
        <v>1.08E-3</v>
      </c>
      <c r="O145">
        <v>0</v>
      </c>
      <c r="P145">
        <v>0</v>
      </c>
      <c r="Q145">
        <v>8.6899999999999998E-3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2.7029999999999998E-2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</row>
    <row r="146" spans="1:35" x14ac:dyDescent="0.25">
      <c r="A146" s="1">
        <v>43159</v>
      </c>
      <c r="B146">
        <v>-7.1000000000000004E-3</v>
      </c>
      <c r="C146">
        <v>-4.5600000000000002E-2</v>
      </c>
      <c r="D146">
        <v>-3.8947372061896912E-2</v>
      </c>
      <c r="E146">
        <v>6.7600000000000004E-3</v>
      </c>
      <c r="F146">
        <v>4.2399999999999998E-3</v>
      </c>
      <c r="G146">
        <v>2.6900000000000001E-3</v>
      </c>
      <c r="H146">
        <v>3.1E-4</v>
      </c>
      <c r="I146">
        <v>-2.2000000000000001E-3</v>
      </c>
      <c r="J146">
        <v>-5.0099999999999997E-3</v>
      </c>
      <c r="K146">
        <v>0</v>
      </c>
      <c r="L146">
        <v>-7.1700000000000002E-3</v>
      </c>
      <c r="M146">
        <v>0</v>
      </c>
      <c r="N146">
        <v>-5.0699999999999999E-3</v>
      </c>
      <c r="O146">
        <v>0</v>
      </c>
      <c r="P146">
        <v>0</v>
      </c>
      <c r="Q146">
        <v>-1.4999999999999999E-4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-1.48E-3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</row>
    <row r="147" spans="1:35" x14ac:dyDescent="0.25">
      <c r="A147" s="1">
        <v>43188</v>
      </c>
      <c r="B147">
        <v>-3.39E-2</v>
      </c>
      <c r="C147">
        <v>-1.9400000000000001E-2</v>
      </c>
      <c r="D147">
        <v>-2.6884498624825115E-2</v>
      </c>
      <c r="E147">
        <v>-5.8100000000000001E-3</v>
      </c>
      <c r="F147">
        <v>-4.3E-3</v>
      </c>
      <c r="G147">
        <v>-9.4800000000000006E-3</v>
      </c>
      <c r="H147">
        <v>-6.1999999999999998E-3</v>
      </c>
      <c r="I147">
        <v>-8.8000000000000003E-4</v>
      </c>
      <c r="J147">
        <v>-4.6899999999999997E-3</v>
      </c>
      <c r="K147">
        <v>0</v>
      </c>
      <c r="L147">
        <v>9.1699999999999993E-3</v>
      </c>
      <c r="M147">
        <v>0</v>
      </c>
      <c r="N147">
        <v>-2.64E-3</v>
      </c>
      <c r="O147">
        <v>0</v>
      </c>
      <c r="P147">
        <v>0</v>
      </c>
      <c r="Q147">
        <v>-4.79E-3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-4.3E-3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</row>
    <row r="148" spans="1:35" x14ac:dyDescent="0.25">
      <c r="A148" s="1">
        <v>43220</v>
      </c>
      <c r="B148">
        <v>9.9000000000000008E-3</v>
      </c>
      <c r="C148">
        <v>5.4000000000000003E-3</v>
      </c>
      <c r="D148">
        <v>2.718775131643536E-3</v>
      </c>
      <c r="E148">
        <v>-1.5E-3</v>
      </c>
      <c r="F148">
        <v>8.2100000000000003E-3</v>
      </c>
      <c r="G148">
        <v>1.73E-3</v>
      </c>
      <c r="H148">
        <v>-2.3000000000000001E-4</v>
      </c>
      <c r="I148">
        <v>-3.7299999999999998E-3</v>
      </c>
      <c r="J148">
        <v>-1.5200000000000001E-3</v>
      </c>
      <c r="K148">
        <v>0</v>
      </c>
      <c r="L148">
        <v>1.047E-2</v>
      </c>
      <c r="M148">
        <v>0</v>
      </c>
      <c r="N148">
        <v>-1.1E-4</v>
      </c>
      <c r="O148">
        <v>0</v>
      </c>
      <c r="P148">
        <v>0</v>
      </c>
      <c r="Q148">
        <v>-5.6999999999999998E-4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-2.8900000000000002E-3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</row>
    <row r="149" spans="1:35" x14ac:dyDescent="0.25">
      <c r="A149" s="1">
        <v>43251</v>
      </c>
      <c r="B149">
        <v>4.1799999999999997E-2</v>
      </c>
      <c r="C149">
        <v>2.52E-2</v>
      </c>
      <c r="D149">
        <v>2.1608341965291933E-2</v>
      </c>
      <c r="E149">
        <v>1.3520000000000001E-2</v>
      </c>
      <c r="F149">
        <v>4.0499999999999998E-3</v>
      </c>
      <c r="G149">
        <v>6.0899999999999999E-3</v>
      </c>
      <c r="H149">
        <v>-2.5400000000000002E-3</v>
      </c>
      <c r="I149">
        <v>2.4399999999999999E-3</v>
      </c>
      <c r="J149">
        <v>5.2300000000000003E-3</v>
      </c>
      <c r="K149">
        <v>0</v>
      </c>
      <c r="L149">
        <v>3.32E-3</v>
      </c>
      <c r="M149">
        <v>0</v>
      </c>
      <c r="N149">
        <v>-8.5999999999999998E-4</v>
      </c>
      <c r="O149">
        <v>0</v>
      </c>
      <c r="P149">
        <v>0</v>
      </c>
      <c r="Q149">
        <v>-1.6299999999999999E-3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1.2200000000000001E-2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</row>
    <row r="150" spans="1:35" x14ac:dyDescent="0.25">
      <c r="A150" s="1">
        <v>43280</v>
      </c>
      <c r="B150">
        <v>-2.1000000000000001E-2</v>
      </c>
      <c r="C150">
        <v>1.4E-3</v>
      </c>
      <c r="D150">
        <v>4.8424360241865472E-3</v>
      </c>
      <c r="E150">
        <v>-9.3999999999999997E-4</v>
      </c>
      <c r="F150">
        <v>4.3099999999999996E-3</v>
      </c>
      <c r="G150">
        <v>-4.7299999999999998E-3</v>
      </c>
      <c r="H150">
        <v>-2.9299999999999999E-3</v>
      </c>
      <c r="I150">
        <v>-6.0499999999999998E-3</v>
      </c>
      <c r="J150">
        <v>-1.069E-2</v>
      </c>
      <c r="K150">
        <v>0</v>
      </c>
      <c r="L150">
        <v>3.31E-3</v>
      </c>
      <c r="M150">
        <v>0</v>
      </c>
      <c r="N150">
        <v>5.3699999999999998E-3</v>
      </c>
      <c r="O150">
        <v>0</v>
      </c>
      <c r="P150">
        <v>0</v>
      </c>
      <c r="Q150">
        <v>-2.63E-3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-6.0600000000000003E-3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</row>
    <row r="151" spans="1:35" x14ac:dyDescent="0.25">
      <c r="A151" s="1">
        <v>43312</v>
      </c>
      <c r="B151">
        <v>5.79E-2</v>
      </c>
      <c r="C151">
        <v>4.2500000000000003E-2</v>
      </c>
      <c r="D151">
        <v>3.6021556221367268E-2</v>
      </c>
      <c r="E151">
        <v>2.8E-3</v>
      </c>
      <c r="F151">
        <v>4.5700000000000003E-3</v>
      </c>
      <c r="G151">
        <v>6.1999999999999998E-3</v>
      </c>
      <c r="H151">
        <v>9.5399999999999999E-3</v>
      </c>
      <c r="I151">
        <v>7.5000000000000002E-4</v>
      </c>
      <c r="J151">
        <v>6.6299999999999996E-3</v>
      </c>
      <c r="K151">
        <v>0</v>
      </c>
      <c r="L151">
        <v>4.0699999999999998E-3</v>
      </c>
      <c r="M151">
        <v>0</v>
      </c>
      <c r="N151">
        <v>9.1500000000000001E-3</v>
      </c>
      <c r="O151">
        <v>0</v>
      </c>
      <c r="P151">
        <v>0</v>
      </c>
      <c r="Q151">
        <v>1.085E-2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3.3600000000000001E-3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</row>
    <row r="152" spans="1:35" x14ac:dyDescent="0.25">
      <c r="A152" s="1">
        <v>43343</v>
      </c>
      <c r="B152">
        <v>3.6700000000000003E-2</v>
      </c>
      <c r="C152">
        <v>1.8200000000000001E-2</v>
      </c>
      <c r="D152">
        <v>3.0263211466054596E-2</v>
      </c>
      <c r="E152">
        <v>2.001E-2</v>
      </c>
      <c r="F152">
        <v>1.324E-2</v>
      </c>
      <c r="G152">
        <v>-3.31E-3</v>
      </c>
      <c r="H152">
        <v>1.6000000000000001E-4</v>
      </c>
      <c r="I152">
        <v>-4.7099999999999998E-3</v>
      </c>
      <c r="J152">
        <v>-3.4399999999999999E-3</v>
      </c>
      <c r="K152">
        <v>0</v>
      </c>
      <c r="L152">
        <v>1.75E-3</v>
      </c>
      <c r="M152">
        <v>0</v>
      </c>
      <c r="N152">
        <v>-1.3600000000000001E-3</v>
      </c>
      <c r="O152">
        <v>0</v>
      </c>
      <c r="P152">
        <v>0</v>
      </c>
      <c r="Q152">
        <v>-3.2000000000000003E-4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1.469E-2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</row>
    <row r="153" spans="1:35" x14ac:dyDescent="0.25">
      <c r="A153" s="1">
        <v>43371</v>
      </c>
      <c r="B153">
        <v>2.0199999999999999E-2</v>
      </c>
      <c r="C153">
        <v>1.44E-2</v>
      </c>
      <c r="D153">
        <v>4.2942871026614426E-3</v>
      </c>
      <c r="E153">
        <v>-8.3000000000000001E-4</v>
      </c>
      <c r="F153">
        <v>-4.8000000000000001E-4</v>
      </c>
      <c r="G153">
        <v>8.4899999999999993E-3</v>
      </c>
      <c r="H153">
        <v>-4.2700000000000004E-3</v>
      </c>
      <c r="I153">
        <v>-9.6000000000000002E-4</v>
      </c>
      <c r="J153">
        <v>9.8200000000000006E-3</v>
      </c>
      <c r="K153">
        <v>0</v>
      </c>
      <c r="L153">
        <v>5.4099999999999999E-3</v>
      </c>
      <c r="M153">
        <v>0</v>
      </c>
      <c r="N153">
        <v>4.3899999999999998E-3</v>
      </c>
      <c r="O153">
        <v>0</v>
      </c>
      <c r="P153">
        <v>0</v>
      </c>
      <c r="Q153">
        <v>-1.5200000000000001E-3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1.2E-4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</row>
    <row r="154" spans="1:35" x14ac:dyDescent="0.25">
      <c r="A154" s="1">
        <v>43404</v>
      </c>
      <c r="B154">
        <v>-0.10580000000000001</v>
      </c>
      <c r="C154">
        <v>-6.8599999999999994E-2</v>
      </c>
      <c r="D154">
        <v>-6.9403356024429486E-2</v>
      </c>
      <c r="E154">
        <v>-3.0500000000000002E-3</v>
      </c>
      <c r="F154">
        <v>-2.0219999999999998E-2</v>
      </c>
      <c r="G154">
        <v>-4.5799999999999999E-3</v>
      </c>
      <c r="H154">
        <v>-6.6499999999999997E-3</v>
      </c>
      <c r="I154">
        <v>-1.2710000000000001E-2</v>
      </c>
      <c r="J154">
        <v>-1.9879999999999998E-2</v>
      </c>
      <c r="K154">
        <v>0</v>
      </c>
      <c r="L154">
        <v>-9.2999999999999992E-3</v>
      </c>
      <c r="M154">
        <v>0</v>
      </c>
      <c r="N154">
        <v>-1.8E-3</v>
      </c>
      <c r="O154">
        <v>0</v>
      </c>
      <c r="P154">
        <v>0</v>
      </c>
      <c r="Q154">
        <v>-2.6800000000000001E-3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-2.4979999999999999E-2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</row>
    <row r="155" spans="1:35" x14ac:dyDescent="0.25">
      <c r="A155" s="1">
        <v>43434</v>
      </c>
      <c r="B155">
        <v>-2.01E-2</v>
      </c>
      <c r="C155">
        <v>1.6E-2</v>
      </c>
      <c r="D155">
        <v>1.7859356788848979E-2</v>
      </c>
      <c r="E155">
        <v>-1.8069999999999999E-2</v>
      </c>
      <c r="F155">
        <v>5.77E-3</v>
      </c>
      <c r="G155">
        <v>-1.8E-3</v>
      </c>
      <c r="H155">
        <v>3.2699999999999999E-3</v>
      </c>
      <c r="I155">
        <v>4.0299999999999997E-3</v>
      </c>
      <c r="J155">
        <v>1.183E-2</v>
      </c>
      <c r="K155">
        <v>0</v>
      </c>
      <c r="L155">
        <v>-5.3200000000000001E-3</v>
      </c>
      <c r="M155">
        <v>0</v>
      </c>
      <c r="N155">
        <v>5.6999999999999998E-4</v>
      </c>
      <c r="O155">
        <v>0</v>
      </c>
      <c r="P155">
        <v>0</v>
      </c>
      <c r="Q155">
        <v>1.99E-3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-2.2409999999999999E-2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</row>
    <row r="156" spans="1:35" x14ac:dyDescent="0.25">
      <c r="A156" s="1">
        <v>43465</v>
      </c>
      <c r="B156">
        <v>-9.69E-2</v>
      </c>
      <c r="C156">
        <v>-7.9899999999999999E-2</v>
      </c>
      <c r="D156">
        <v>-9.1776894596563907E-2</v>
      </c>
      <c r="E156">
        <v>-1.167E-2</v>
      </c>
      <c r="F156">
        <v>-1.1140000000000001E-2</v>
      </c>
      <c r="G156">
        <v>-7.0000000000000001E-3</v>
      </c>
      <c r="H156">
        <v>-1.2710000000000001E-2</v>
      </c>
      <c r="I156">
        <v>-7.4900000000000001E-3</v>
      </c>
      <c r="J156">
        <v>-6.3400000000000001E-3</v>
      </c>
      <c r="K156">
        <v>0</v>
      </c>
      <c r="L156">
        <v>-5.79E-3</v>
      </c>
      <c r="M156">
        <v>0</v>
      </c>
      <c r="N156">
        <v>-4.2900000000000004E-3</v>
      </c>
      <c r="O156">
        <v>0</v>
      </c>
      <c r="P156">
        <v>0</v>
      </c>
      <c r="Q156">
        <v>-1.2200000000000001E-2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-1.831E-2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</row>
    <row r="157" spans="1:35" x14ac:dyDescent="0.25">
      <c r="A157" s="10">
        <f>YEAR(A156)</f>
        <v>2018</v>
      </c>
      <c r="B157" s="5" cm="1">
        <f t="array" ref="B157">PRODUCT(1+B145:B156)-1</f>
        <v>-3.0110276500199151E-2</v>
      </c>
      <c r="C157" s="5" cm="1">
        <f t="array" ref="C157">PRODUCT(1+C145:C156)-1</f>
        <v>-4.8251620115358995E-2</v>
      </c>
      <c r="D157" s="5" cm="1">
        <f t="array" ref="D157">PRODUCT(1+D145:D156)-1</f>
        <v>-6.2372598219684661E-2</v>
      </c>
      <c r="E157" s="5" cm="1">
        <f t="array" ref="E157">PRODUCT(1+E145:E156)-1</f>
        <v>-4.126870358976964E-4</v>
      </c>
      <c r="F157" s="5" cm="1">
        <f t="array" ref="F157">PRODUCT(1+F145:F156)-1</f>
        <v>3.2075884657765341E-2</v>
      </c>
      <c r="G157" s="5" cm="1">
        <f t="array" ref="G157">PRODUCT(1+G145:G156)-1</f>
        <v>1.4181855329673088E-2</v>
      </c>
      <c r="H157" s="5" cm="1">
        <f t="array" ref="H157">PRODUCT(1+H145:H156)-1</f>
        <v>-1.397677655278895E-2</v>
      </c>
      <c r="I157" s="5" cm="1">
        <f t="array" ref="I157">PRODUCT(1+I145:I156)-1</f>
        <v>-2.2106281722631738E-2</v>
      </c>
      <c r="J157" s="5" cm="1">
        <f t="array" ref="J157">PRODUCT(1+J145:J156)-1</f>
        <v>-1.4630630781266252E-2</v>
      </c>
      <c r="K157" s="5" cm="1">
        <f t="array" ref="K157">PRODUCT(1+K145:K156)-1</f>
        <v>0</v>
      </c>
      <c r="L157" s="5" cm="1">
        <f t="array" ref="L157">PRODUCT(1+L145:L156)-1</f>
        <v>1.6944662636333208E-2</v>
      </c>
      <c r="M157" s="5" cm="1">
        <f t="array" ref="M157">PRODUCT(1+M145:M156)-1</f>
        <v>0</v>
      </c>
      <c r="N157" s="5" cm="1">
        <f t="array" ref="N157">PRODUCT(1+N145:N156)-1</f>
        <v>4.3445433942363998E-3</v>
      </c>
      <c r="O157" s="5" cm="1">
        <f t="array" ref="O157">PRODUCT(1+O145:O156)-1</f>
        <v>0</v>
      </c>
      <c r="P157" s="5" cm="1">
        <f t="array" ref="P157">PRODUCT(1+P145:P156)-1</f>
        <v>0</v>
      </c>
      <c r="Q157" s="5" cm="1">
        <f t="array" ref="Q157">PRODUCT(1+Q145:Q156)-1</f>
        <v>-5.1410096996303833E-3</v>
      </c>
      <c r="R157" s="5" cm="1">
        <f t="array" ref="R157">PRODUCT(1+R145:R156)-1</f>
        <v>0</v>
      </c>
      <c r="S157" s="5" cm="1">
        <f t="array" ref="S157">PRODUCT(1+S145:S156)-1</f>
        <v>0</v>
      </c>
      <c r="T157" s="5" cm="1">
        <f t="array" ref="T157">PRODUCT(1+T145:T156)-1</f>
        <v>0</v>
      </c>
      <c r="U157" s="5" cm="1">
        <f t="array" ref="U157">PRODUCT(1+U145:U156)-1</f>
        <v>0</v>
      </c>
      <c r="V157" s="5" cm="1">
        <f t="array" ref="V157">PRODUCT(1+V145:V156)-1</f>
        <v>0</v>
      </c>
      <c r="W157" s="5" cm="1">
        <f t="array" ref="W157">PRODUCT(1+W145:W156)-1</f>
        <v>0</v>
      </c>
      <c r="X157" s="5" cm="1">
        <f t="array" ref="X157">PRODUCT(1+X145:X156)-1</f>
        <v>-2.405600542579156E-2</v>
      </c>
      <c r="Y157" s="5" cm="1">
        <f t="array" ref="Y157">PRODUCT(1+Y145:Y156)-1</f>
        <v>0</v>
      </c>
      <c r="Z157" s="5" cm="1">
        <f t="array" ref="Z157">PRODUCT(1+Z145:Z156)-1</f>
        <v>0</v>
      </c>
      <c r="AA157" s="5" cm="1">
        <f t="array" ref="AA157">PRODUCT(1+AA145:AA156)-1</f>
        <v>0</v>
      </c>
      <c r="AB157" s="5" cm="1">
        <f t="array" ref="AB157">PRODUCT(1+AB145:AB156)-1</f>
        <v>0</v>
      </c>
      <c r="AC157" s="5" cm="1">
        <f t="array" ref="AC157">PRODUCT(1+AC145:AC156)-1</f>
        <v>0</v>
      </c>
      <c r="AD157" s="5" cm="1">
        <f t="array" ref="AD157">PRODUCT(1+AD145:AD156)-1</f>
        <v>0</v>
      </c>
      <c r="AE157" s="5" cm="1">
        <f t="array" ref="AE157">PRODUCT(1+AE145:AE156)-1</f>
        <v>0</v>
      </c>
      <c r="AF157" s="5" cm="1">
        <f t="array" ref="AF157">PRODUCT(1+AF145:AF156)-1</f>
        <v>0</v>
      </c>
      <c r="AG157" s="5" cm="1">
        <f t="array" ref="AG157">PRODUCT(1+AG145:AG156)-1</f>
        <v>0</v>
      </c>
      <c r="AH157" s="5" cm="1">
        <f t="array" ref="AH157">PRODUCT(1+AH145:AH156)-1</f>
        <v>0</v>
      </c>
      <c r="AI157" s="5" cm="1">
        <f t="array" ref="AI157">PRODUCT(1+AI145:AI156)-1</f>
        <v>0</v>
      </c>
    </row>
    <row r="158" spans="1:35" x14ac:dyDescent="0.25">
      <c r="A158" s="1">
        <v>43496</v>
      </c>
      <c r="B158">
        <v>8.0299999999999996E-2</v>
      </c>
      <c r="C158">
        <v>7.6399999999999996E-2</v>
      </c>
      <c r="D158">
        <v>7.8684401655036762E-2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-1.7099999999999999E-3</v>
      </c>
      <c r="N158">
        <v>0</v>
      </c>
      <c r="O158">
        <v>3.4209999999999997E-2</v>
      </c>
      <c r="P158">
        <v>3.1199999999999999E-3</v>
      </c>
      <c r="Q158">
        <v>0</v>
      </c>
      <c r="R158">
        <v>1.65E-3</v>
      </c>
      <c r="S158">
        <v>6.8000000000000005E-4</v>
      </c>
      <c r="T158">
        <v>0</v>
      </c>
      <c r="U158">
        <v>0</v>
      </c>
      <c r="V158">
        <v>1.044E-2</v>
      </c>
      <c r="W158">
        <v>0</v>
      </c>
      <c r="X158">
        <v>0</v>
      </c>
      <c r="Y158">
        <v>0</v>
      </c>
      <c r="Z158">
        <v>0</v>
      </c>
      <c r="AA158">
        <v>5.7299999999999999E-3</v>
      </c>
      <c r="AB158">
        <v>1.0659999999999999E-2</v>
      </c>
      <c r="AC158">
        <v>8.4100000000000008E-3</v>
      </c>
      <c r="AD158">
        <v>7.11E-3</v>
      </c>
      <c r="AE158">
        <v>0</v>
      </c>
      <c r="AF158">
        <v>0</v>
      </c>
      <c r="AG158">
        <v>0</v>
      </c>
      <c r="AH158">
        <v>0</v>
      </c>
      <c r="AI158">
        <v>0</v>
      </c>
    </row>
    <row r="159" spans="1:35" x14ac:dyDescent="0.25">
      <c r="A159" s="1">
        <v>43524</v>
      </c>
      <c r="B159">
        <v>2.8500000000000001E-2</v>
      </c>
      <c r="C159">
        <v>3.3599999999999998E-2</v>
      </c>
      <c r="D159">
        <v>2.9728889126352298E-2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6.79E-3</v>
      </c>
      <c r="N159">
        <v>0</v>
      </c>
      <c r="O159">
        <v>6.1700000000000001E-3</v>
      </c>
      <c r="P159">
        <v>3.3500000000000001E-3</v>
      </c>
      <c r="Q159">
        <v>0</v>
      </c>
      <c r="R159">
        <v>-5.7999999999999996E-3</v>
      </c>
      <c r="S159">
        <v>3.48E-3</v>
      </c>
      <c r="T159">
        <v>0</v>
      </c>
      <c r="U159">
        <v>0</v>
      </c>
      <c r="V159">
        <v>4.7000000000000002E-3</v>
      </c>
      <c r="W159">
        <v>0</v>
      </c>
      <c r="X159">
        <v>0</v>
      </c>
      <c r="Y159">
        <v>0</v>
      </c>
      <c r="Z159">
        <v>0</v>
      </c>
      <c r="AA159">
        <v>2.16E-3</v>
      </c>
      <c r="AB159">
        <v>3.48E-3</v>
      </c>
      <c r="AC159">
        <v>5.9999999999999995E-4</v>
      </c>
      <c r="AD159">
        <v>3.5300000000000002E-3</v>
      </c>
      <c r="AE159">
        <v>0</v>
      </c>
      <c r="AF159">
        <v>0</v>
      </c>
      <c r="AG159">
        <v>0</v>
      </c>
      <c r="AH159">
        <v>0</v>
      </c>
      <c r="AI159">
        <v>0</v>
      </c>
    </row>
    <row r="160" spans="1:35" x14ac:dyDescent="0.25">
      <c r="A160" s="1">
        <v>43553</v>
      </c>
      <c r="B160">
        <v>1.9E-2</v>
      </c>
      <c r="C160">
        <v>1.41E-2</v>
      </c>
      <c r="D160">
        <v>1.7924256211817147E-2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3.47E-3</v>
      </c>
      <c r="N160">
        <v>0</v>
      </c>
      <c r="O160">
        <v>-3.7499999999999999E-3</v>
      </c>
      <c r="P160">
        <v>2.31E-3</v>
      </c>
      <c r="Q160">
        <v>0</v>
      </c>
      <c r="R160">
        <v>4.2300000000000003E-3</v>
      </c>
      <c r="S160">
        <v>3.3E-3</v>
      </c>
      <c r="T160">
        <v>0</v>
      </c>
      <c r="U160">
        <v>0</v>
      </c>
      <c r="V160">
        <v>-1.5200000000000001E-3</v>
      </c>
      <c r="W160">
        <v>0</v>
      </c>
      <c r="X160">
        <v>0</v>
      </c>
      <c r="Y160">
        <v>0</v>
      </c>
      <c r="Z160">
        <v>0</v>
      </c>
      <c r="AA160">
        <v>5.5799999999999999E-3</v>
      </c>
      <c r="AB160">
        <v>4.0000000000000001E-3</v>
      </c>
      <c r="AC160">
        <v>5.8E-4</v>
      </c>
      <c r="AD160">
        <v>7.6999999999999996E-4</v>
      </c>
      <c r="AE160">
        <v>0</v>
      </c>
      <c r="AF160">
        <v>0</v>
      </c>
      <c r="AG160">
        <v>0</v>
      </c>
      <c r="AH160">
        <v>0</v>
      </c>
      <c r="AI160">
        <v>0</v>
      </c>
    </row>
    <row r="161" spans="1:35" x14ac:dyDescent="0.25">
      <c r="A161" s="1">
        <v>43585</v>
      </c>
      <c r="B161">
        <v>1.9099999999999999E-2</v>
      </c>
      <c r="C161">
        <v>3.1300000000000001E-2</v>
      </c>
      <c r="D161">
        <v>3.9313498395682656E-2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1.58E-3</v>
      </c>
      <c r="N161">
        <v>0</v>
      </c>
      <c r="O161">
        <v>1.8E-3</v>
      </c>
      <c r="P161">
        <v>1.01E-3</v>
      </c>
      <c r="Q161">
        <v>0</v>
      </c>
      <c r="R161">
        <v>4.6899999999999997E-3</v>
      </c>
      <c r="S161">
        <v>4.0400000000000002E-3</v>
      </c>
      <c r="T161">
        <v>0</v>
      </c>
      <c r="U161">
        <v>0</v>
      </c>
      <c r="V161">
        <v>4.3E-3</v>
      </c>
      <c r="W161">
        <v>0</v>
      </c>
      <c r="X161">
        <v>0</v>
      </c>
      <c r="Y161">
        <v>0</v>
      </c>
      <c r="Z161">
        <v>0</v>
      </c>
      <c r="AA161">
        <v>3.0500000000000002E-3</v>
      </c>
      <c r="AB161">
        <v>2.98E-3</v>
      </c>
      <c r="AC161">
        <v>-4.6699999999999997E-3</v>
      </c>
      <c r="AD161">
        <v>3.5E-4</v>
      </c>
      <c r="AE161">
        <v>0</v>
      </c>
      <c r="AF161">
        <v>0</v>
      </c>
      <c r="AG161">
        <v>0</v>
      </c>
      <c r="AH161">
        <v>0</v>
      </c>
      <c r="AI161">
        <v>0</v>
      </c>
    </row>
    <row r="162" spans="1:35" x14ac:dyDescent="0.25">
      <c r="A162" s="1">
        <v>43616</v>
      </c>
      <c r="B162">
        <v>-3.6299999999999999E-2</v>
      </c>
      <c r="C162">
        <v>-6.9000000000000006E-2</v>
      </c>
      <c r="D162">
        <v>-6.577773118928687E-2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-3.4499999999999999E-3</v>
      </c>
      <c r="N162">
        <v>0</v>
      </c>
      <c r="O162">
        <v>-7.1799999999999998E-3</v>
      </c>
      <c r="P162">
        <v>-6.4400000000000004E-3</v>
      </c>
      <c r="Q162">
        <v>0</v>
      </c>
      <c r="R162">
        <v>1.3999999999999999E-4</v>
      </c>
      <c r="S162">
        <v>9.3999999999999997E-4</v>
      </c>
      <c r="T162">
        <v>0</v>
      </c>
      <c r="U162">
        <v>0</v>
      </c>
      <c r="V162">
        <v>-1.192E-2</v>
      </c>
      <c r="W162">
        <v>0</v>
      </c>
      <c r="X162">
        <v>0</v>
      </c>
      <c r="Y162">
        <v>0</v>
      </c>
      <c r="Z162">
        <v>0</v>
      </c>
      <c r="AA162">
        <v>-3.3500000000000001E-3</v>
      </c>
      <c r="AB162">
        <v>1.6900000000000001E-3</v>
      </c>
      <c r="AC162">
        <v>-5.4999999999999997E-3</v>
      </c>
      <c r="AD162">
        <v>-1.23E-3</v>
      </c>
      <c r="AE162">
        <v>0</v>
      </c>
      <c r="AF162">
        <v>0</v>
      </c>
      <c r="AG162">
        <v>0</v>
      </c>
      <c r="AH162">
        <v>0</v>
      </c>
      <c r="AI162">
        <v>0</v>
      </c>
    </row>
    <row r="163" spans="1:35" x14ac:dyDescent="0.25">
      <c r="A163" s="1">
        <v>43644</v>
      </c>
      <c r="B163">
        <v>5.7599999999999998E-2</v>
      </c>
      <c r="C163">
        <v>7.2999999999999995E-2</v>
      </c>
      <c r="D163">
        <v>6.8930163925612131E-2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4.0699999999999998E-3</v>
      </c>
      <c r="N163">
        <v>0</v>
      </c>
      <c r="O163">
        <v>1.133E-2</v>
      </c>
      <c r="P163">
        <v>6.1999999999999998E-3</v>
      </c>
      <c r="Q163">
        <v>0</v>
      </c>
      <c r="R163">
        <v>4.4600000000000004E-3</v>
      </c>
      <c r="S163">
        <v>4.7400000000000003E-3</v>
      </c>
      <c r="T163">
        <v>0</v>
      </c>
      <c r="U163">
        <v>0</v>
      </c>
      <c r="V163">
        <v>8.8299999999999993E-3</v>
      </c>
      <c r="W163">
        <v>0</v>
      </c>
      <c r="X163">
        <v>0</v>
      </c>
      <c r="Y163">
        <v>0</v>
      </c>
      <c r="Z163">
        <v>0</v>
      </c>
      <c r="AA163">
        <v>6.5500000000000003E-3</v>
      </c>
      <c r="AB163">
        <v>3.3300000000000001E-3</v>
      </c>
      <c r="AC163">
        <v>-1.4400000000000001E-3</v>
      </c>
      <c r="AD163">
        <v>9.58E-3</v>
      </c>
      <c r="AE163">
        <v>0</v>
      </c>
      <c r="AF163">
        <v>0</v>
      </c>
      <c r="AG163">
        <v>0</v>
      </c>
      <c r="AH163">
        <v>0</v>
      </c>
      <c r="AI163">
        <v>0</v>
      </c>
    </row>
    <row r="164" spans="1:35" x14ac:dyDescent="0.25">
      <c r="A164" s="1">
        <v>43677</v>
      </c>
      <c r="B164">
        <v>1.11E-2</v>
      </c>
      <c r="C164">
        <v>1.54E-2</v>
      </c>
      <c r="D164">
        <v>1.3128152149977756E-2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-3.9199999999999999E-3</v>
      </c>
      <c r="N164">
        <v>0</v>
      </c>
      <c r="O164">
        <v>-4.8000000000000001E-4</v>
      </c>
      <c r="P164">
        <v>-6.4999999999999997E-3</v>
      </c>
      <c r="Q164">
        <v>0</v>
      </c>
      <c r="R164">
        <v>3.3600000000000001E-3</v>
      </c>
      <c r="S164">
        <v>1.47E-3</v>
      </c>
      <c r="T164">
        <v>0</v>
      </c>
      <c r="U164">
        <v>0</v>
      </c>
      <c r="V164">
        <v>2.48E-3</v>
      </c>
      <c r="W164">
        <v>0</v>
      </c>
      <c r="X164">
        <v>0</v>
      </c>
      <c r="Y164">
        <v>0</v>
      </c>
      <c r="Z164">
        <v>0</v>
      </c>
      <c r="AA164">
        <v>8.3300000000000006E-3</v>
      </c>
      <c r="AB164">
        <v>1.66E-3</v>
      </c>
      <c r="AC164">
        <v>1.5299999999999999E-3</v>
      </c>
      <c r="AD164">
        <v>3.13E-3</v>
      </c>
      <c r="AE164">
        <v>0</v>
      </c>
      <c r="AF164">
        <v>0</v>
      </c>
      <c r="AG164">
        <v>0</v>
      </c>
      <c r="AH164">
        <v>0</v>
      </c>
      <c r="AI164">
        <v>0</v>
      </c>
    </row>
    <row r="165" spans="1:35" x14ac:dyDescent="0.25">
      <c r="A165" s="1">
        <v>43707</v>
      </c>
      <c r="B165">
        <v>-6.8999999999999999E-3</v>
      </c>
      <c r="C165">
        <v>-2.7699999999999999E-2</v>
      </c>
      <c r="D165">
        <v>-1.8091627281326739E-2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4.4999999999999997E-3</v>
      </c>
      <c r="N165">
        <v>0</v>
      </c>
      <c r="O165">
        <v>-2.1049999999999999E-2</v>
      </c>
      <c r="P165">
        <v>-6.9999999999999999E-4</v>
      </c>
      <c r="Q165">
        <v>0</v>
      </c>
      <c r="R165">
        <v>4.5799999999999999E-3</v>
      </c>
      <c r="S165">
        <v>3.9899999999999996E-3</v>
      </c>
      <c r="T165">
        <v>0</v>
      </c>
      <c r="U165">
        <v>0</v>
      </c>
      <c r="V165">
        <v>-1.5200000000000001E-3</v>
      </c>
      <c r="W165">
        <v>0</v>
      </c>
      <c r="X165">
        <v>0</v>
      </c>
      <c r="Y165">
        <v>0</v>
      </c>
      <c r="Z165">
        <v>0</v>
      </c>
      <c r="AA165">
        <v>1.8600000000000001E-3</v>
      </c>
      <c r="AB165">
        <v>4.7699999999999999E-3</v>
      </c>
      <c r="AC165">
        <v>-6.8799999999999998E-3</v>
      </c>
      <c r="AD165">
        <v>3.5500000000000002E-3</v>
      </c>
      <c r="AE165">
        <v>0</v>
      </c>
      <c r="AF165">
        <v>0</v>
      </c>
      <c r="AG165">
        <v>0</v>
      </c>
      <c r="AH165">
        <v>0</v>
      </c>
      <c r="AI165">
        <v>0</v>
      </c>
    </row>
    <row r="166" spans="1:35" x14ac:dyDescent="0.25">
      <c r="A166" s="1">
        <v>43738</v>
      </c>
      <c r="B166">
        <v>4.5400000000000003E-2</v>
      </c>
      <c r="C166">
        <v>3.6299999999999999E-2</v>
      </c>
      <c r="D166">
        <v>1.7181177829208583E-2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5.5700000000000003E-3</v>
      </c>
      <c r="N166">
        <v>0</v>
      </c>
      <c r="O166">
        <v>8.4799999999999997E-3</v>
      </c>
      <c r="P166">
        <v>7.9000000000000001E-4</v>
      </c>
      <c r="Q166">
        <v>0</v>
      </c>
      <c r="R166">
        <v>-3.6000000000000002E-4</v>
      </c>
      <c r="S166">
        <v>-1.5E-3</v>
      </c>
      <c r="T166">
        <v>0</v>
      </c>
      <c r="U166">
        <v>0</v>
      </c>
      <c r="V166">
        <v>1.115E-2</v>
      </c>
      <c r="W166">
        <v>0</v>
      </c>
      <c r="X166">
        <v>0</v>
      </c>
      <c r="Y166">
        <v>0</v>
      </c>
      <c r="Z166">
        <v>0</v>
      </c>
      <c r="AA166">
        <v>3.4499999999999999E-3</v>
      </c>
      <c r="AB166">
        <v>6.0200000000000002E-3</v>
      </c>
      <c r="AC166">
        <v>4.5100000000000001E-3</v>
      </c>
      <c r="AD166">
        <v>7.3200000000000001E-3</v>
      </c>
      <c r="AE166">
        <v>0</v>
      </c>
      <c r="AF166">
        <v>0</v>
      </c>
      <c r="AG166">
        <v>0</v>
      </c>
      <c r="AH166">
        <v>0</v>
      </c>
      <c r="AI166">
        <v>0</v>
      </c>
    </row>
    <row r="167" spans="1:35" x14ac:dyDescent="0.25">
      <c r="A167" s="1">
        <v>43769</v>
      </c>
      <c r="B167">
        <v>4.4999999999999997E-3</v>
      </c>
      <c r="C167">
        <v>1.6299999999999999E-2</v>
      </c>
      <c r="D167">
        <v>2.0431770730503063E-2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1.8600000000000001E-3</v>
      </c>
      <c r="N167">
        <v>0</v>
      </c>
      <c r="O167">
        <v>1.163E-2</v>
      </c>
      <c r="P167">
        <v>2.0600000000000002E-3</v>
      </c>
      <c r="Q167">
        <v>0</v>
      </c>
      <c r="R167" s="2">
        <v>-2.0000000000000002E-5</v>
      </c>
      <c r="S167">
        <v>-8.3899999999999999E-3</v>
      </c>
      <c r="T167">
        <v>0</v>
      </c>
      <c r="U167">
        <v>0</v>
      </c>
      <c r="V167">
        <v>-4.6499999999999996E-3</v>
      </c>
      <c r="W167">
        <v>0</v>
      </c>
      <c r="X167">
        <v>0</v>
      </c>
      <c r="Y167">
        <v>0</v>
      </c>
      <c r="Z167">
        <v>0</v>
      </c>
      <c r="AA167">
        <v>6.9999999999999999E-4</v>
      </c>
      <c r="AB167">
        <v>1.4400000000000001E-3</v>
      </c>
      <c r="AC167">
        <v>-3.1900000000000001E-3</v>
      </c>
      <c r="AD167">
        <v>3.0699999999999998E-3</v>
      </c>
      <c r="AE167">
        <v>0</v>
      </c>
      <c r="AF167">
        <v>0</v>
      </c>
      <c r="AG167">
        <v>0</v>
      </c>
      <c r="AH167">
        <v>0</v>
      </c>
      <c r="AI167">
        <v>0</v>
      </c>
    </row>
    <row r="168" spans="1:35" x14ac:dyDescent="0.25">
      <c r="A168" s="1">
        <v>43798</v>
      </c>
      <c r="B168">
        <v>1.83E-2</v>
      </c>
      <c r="C168">
        <v>3.8199999999999998E-2</v>
      </c>
      <c r="D168">
        <v>3.4047037421886195E-2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6.8000000000000005E-4</v>
      </c>
      <c r="N168">
        <v>0</v>
      </c>
      <c r="O168">
        <v>1.2930000000000001E-2</v>
      </c>
      <c r="P168">
        <v>4.8500000000000001E-3</v>
      </c>
      <c r="Q168">
        <v>0</v>
      </c>
      <c r="R168">
        <v>-1.16E-3</v>
      </c>
      <c r="S168">
        <v>-4.8999999999999998E-4</v>
      </c>
      <c r="T168">
        <v>0</v>
      </c>
      <c r="U168">
        <v>0</v>
      </c>
      <c r="V168">
        <v>4.6699999999999997E-3</v>
      </c>
      <c r="W168">
        <v>0</v>
      </c>
      <c r="X168">
        <v>0</v>
      </c>
      <c r="Y168">
        <v>0</v>
      </c>
      <c r="Z168">
        <v>0</v>
      </c>
      <c r="AA168">
        <v>-1.97E-3</v>
      </c>
      <c r="AB168" s="2">
        <v>-8.0000000000000007E-5</v>
      </c>
      <c r="AC168">
        <v>1.75E-3</v>
      </c>
      <c r="AD168">
        <v>-2.8800000000000002E-3</v>
      </c>
      <c r="AE168">
        <v>0</v>
      </c>
      <c r="AF168">
        <v>0</v>
      </c>
      <c r="AG168">
        <v>0</v>
      </c>
      <c r="AH168">
        <v>0</v>
      </c>
      <c r="AI168">
        <v>0</v>
      </c>
    </row>
    <row r="169" spans="1:35" x14ac:dyDescent="0.25">
      <c r="A169" s="1">
        <v>43830</v>
      </c>
      <c r="B169">
        <v>2.7699999999999999E-2</v>
      </c>
      <c r="C169">
        <v>3.0300000000000001E-2</v>
      </c>
      <c r="D169">
        <v>2.8589818964716907E-2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7.6000000000000004E-4</v>
      </c>
      <c r="N169">
        <v>0</v>
      </c>
      <c r="O169">
        <v>-8.8999999999999995E-4</v>
      </c>
      <c r="P169">
        <v>6.1000000000000004E-3</v>
      </c>
      <c r="Q169">
        <v>0</v>
      </c>
      <c r="R169">
        <v>3.65E-3</v>
      </c>
      <c r="S169">
        <v>1.6100000000000001E-3</v>
      </c>
      <c r="T169">
        <v>0</v>
      </c>
      <c r="U169">
        <v>0</v>
      </c>
      <c r="V169">
        <v>8.3599999999999994E-3</v>
      </c>
      <c r="W169">
        <v>0</v>
      </c>
      <c r="X169">
        <v>0</v>
      </c>
      <c r="Y169">
        <v>0</v>
      </c>
      <c r="Z169">
        <v>0</v>
      </c>
      <c r="AA169">
        <v>2.33E-3</v>
      </c>
      <c r="AB169">
        <v>2.7599999999999999E-3</v>
      </c>
      <c r="AC169">
        <v>-1.49E-3</v>
      </c>
      <c r="AD169">
        <v>4.5500000000000002E-3</v>
      </c>
      <c r="AE169">
        <v>0</v>
      </c>
      <c r="AF169">
        <v>0</v>
      </c>
      <c r="AG169">
        <v>0</v>
      </c>
      <c r="AH169">
        <v>0</v>
      </c>
      <c r="AI169">
        <v>0</v>
      </c>
    </row>
    <row r="170" spans="1:35" x14ac:dyDescent="0.25">
      <c r="A170" s="10">
        <f>YEAR(A169)</f>
        <v>2019</v>
      </c>
      <c r="B170" s="5" cm="1">
        <f t="array" ref="B170">PRODUCT(1+B158:B169)-1</f>
        <v>0.29767096718168817</v>
      </c>
      <c r="C170" s="5" cm="1">
        <f t="array" ref="C170">PRODUCT(1+C158:C169)-1</f>
        <v>0.29279893623991637</v>
      </c>
      <c r="D170" s="5" cm="1">
        <f t="array" ref="D170">PRODUCT(1+D158:D169)-1</f>
        <v>0.28878070195643568</v>
      </c>
      <c r="E170" s="5" cm="1">
        <f t="array" ref="E170">PRODUCT(1+E158:E169)-1</f>
        <v>0</v>
      </c>
      <c r="F170" s="5" cm="1">
        <f t="array" ref="F170">PRODUCT(1+F158:F169)-1</f>
        <v>0</v>
      </c>
      <c r="G170" s="5" cm="1">
        <f t="array" ref="G170">PRODUCT(1+G158:G169)-1</f>
        <v>0</v>
      </c>
      <c r="H170" s="5" cm="1">
        <f t="array" ref="H170">PRODUCT(1+H158:H169)-1</f>
        <v>0</v>
      </c>
      <c r="I170" s="5" cm="1">
        <f t="array" ref="I170">PRODUCT(1+I158:I169)-1</f>
        <v>0</v>
      </c>
      <c r="J170" s="5" cm="1">
        <f t="array" ref="J170">PRODUCT(1+J158:J169)-1</f>
        <v>0</v>
      </c>
      <c r="K170" s="5" cm="1">
        <f t="array" ref="K170">PRODUCT(1+K158:K169)-1</f>
        <v>0</v>
      </c>
      <c r="L170" s="5" cm="1">
        <f t="array" ref="L170">PRODUCT(1+L158:L169)-1</f>
        <v>0</v>
      </c>
      <c r="M170" s="5" cm="1">
        <f t="array" ref="M170">PRODUCT(1+M158:M169)-1</f>
        <v>2.0322352292864165E-2</v>
      </c>
      <c r="N170" s="5" cm="1">
        <f t="array" ref="N170">PRODUCT(1+N158:N169)-1</f>
        <v>0</v>
      </c>
      <c r="O170" s="5" cm="1">
        <f t="array" ref="O170">PRODUCT(1+O158:O169)-1</f>
        <v>5.3480727552053242E-2</v>
      </c>
      <c r="P170" s="5" cm="1">
        <f t="array" ref="P170">PRODUCT(1+P158:P169)-1</f>
        <v>1.6171625252789701E-2</v>
      </c>
      <c r="Q170" s="5" cm="1">
        <f t="array" ref="Q170">PRODUCT(1+Q158:Q169)-1</f>
        <v>0</v>
      </c>
      <c r="R170" s="5" cm="1">
        <f t="array" ref="R170">PRODUCT(1+R158:R169)-1</f>
        <v>1.9536866589409785E-2</v>
      </c>
      <c r="S170" s="5" cm="1">
        <f t="array" ref="S170">PRODUCT(1+S158:S169)-1</f>
        <v>1.3887104778838921E-2</v>
      </c>
      <c r="T170" s="5" cm="1">
        <f t="array" ref="T170">PRODUCT(1+T158:T169)-1</f>
        <v>0</v>
      </c>
      <c r="U170" s="5" cm="1">
        <f t="array" ref="U170">PRODUCT(1+U158:U169)-1</f>
        <v>0</v>
      </c>
      <c r="V170" s="5" cm="1">
        <f t="array" ref="V170">PRODUCT(1+V158:V169)-1</f>
        <v>3.5631855129992784E-2</v>
      </c>
      <c r="W170" s="5" cm="1">
        <f t="array" ref="W170">PRODUCT(1+W158:W169)-1</f>
        <v>0</v>
      </c>
      <c r="X170" s="5" cm="1">
        <f t="array" ref="X170">PRODUCT(1+X158:X169)-1</f>
        <v>0</v>
      </c>
      <c r="Y170" s="5" cm="1">
        <f t="array" ref="Y170">PRODUCT(1+Y158:Y169)-1</f>
        <v>0</v>
      </c>
      <c r="Z170" s="5" cm="1">
        <f t="array" ref="Z170">PRODUCT(1+Z158:Z169)-1</f>
        <v>0</v>
      </c>
      <c r="AA170" s="5" cm="1">
        <f t="array" ref="AA170">PRODUCT(1+AA158:AA169)-1</f>
        <v>3.4902393003950927E-2</v>
      </c>
      <c r="AB170" s="5" cm="1">
        <f t="array" ref="AB170">PRODUCT(1+AB158:AB169)-1</f>
        <v>4.3512647318600939E-2</v>
      </c>
      <c r="AC170" s="5" cm="1">
        <f t="array" ref="AC170">PRODUCT(1+AC158:AC169)-1</f>
        <v>-5.8781524098933113E-3</v>
      </c>
      <c r="AD170" s="5" cm="1">
        <f t="array" ref="AD170">PRODUCT(1+AD158:AD169)-1</f>
        <v>3.9474089114432065E-2</v>
      </c>
      <c r="AE170" s="5" cm="1">
        <f t="array" ref="AE170">PRODUCT(1+AE158:AE169)-1</f>
        <v>0</v>
      </c>
      <c r="AF170" s="5" cm="1">
        <f t="array" ref="AF170">PRODUCT(1+AF158:AF169)-1</f>
        <v>0</v>
      </c>
      <c r="AG170" s="5" cm="1">
        <f t="array" ref="AG170">PRODUCT(1+AG158:AG169)-1</f>
        <v>0</v>
      </c>
      <c r="AH170" s="5" cm="1">
        <f t="array" ref="AH170">PRODUCT(1+AH158:AH169)-1</f>
        <v>0</v>
      </c>
      <c r="AI170" s="5" cm="1">
        <f t="array" ref="AI170">PRODUCT(1+AI158:AI169)-1</f>
        <v>0</v>
      </c>
    </row>
    <row r="171" spans="1:35" x14ac:dyDescent="0.25">
      <c r="A171" s="1">
        <v>43861</v>
      </c>
      <c r="B171">
        <v>-8.0000000000000002E-3</v>
      </c>
      <c r="C171">
        <v>-8.0999999999999996E-3</v>
      </c>
      <c r="D171">
        <v>-1.6280925822201864E-3</v>
      </c>
      <c r="E171">
        <v>5.4000000000000003E-3</v>
      </c>
      <c r="F171">
        <v>8.7100000000000007E-3</v>
      </c>
      <c r="G171">
        <v>-2.3E-3</v>
      </c>
      <c r="H171">
        <v>-6.79E-3</v>
      </c>
      <c r="I171">
        <v>4.8999999999999998E-3</v>
      </c>
      <c r="J171">
        <v>-1.0359999999999999E-2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-4.4000000000000003E-3</v>
      </c>
      <c r="R171">
        <v>0</v>
      </c>
      <c r="S171">
        <v>0</v>
      </c>
      <c r="T171">
        <v>0</v>
      </c>
      <c r="U171">
        <v>7.9500000000000005E-3</v>
      </c>
      <c r="V171">
        <v>0</v>
      </c>
      <c r="W171">
        <v>0</v>
      </c>
      <c r="X171">
        <v>4.8000000000000001E-4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-1.157E-2</v>
      </c>
      <c r="AH171">
        <v>0</v>
      </c>
      <c r="AI171">
        <v>0</v>
      </c>
    </row>
    <row r="172" spans="1:35" x14ac:dyDescent="0.25">
      <c r="A172" s="1">
        <v>43889</v>
      </c>
      <c r="B172">
        <v>-7.5499999999999998E-2</v>
      </c>
      <c r="C172">
        <v>-9.2499999999999999E-2</v>
      </c>
      <c r="D172">
        <v>-8.411048367946572E-2</v>
      </c>
      <c r="E172">
        <v>-1.1429999999999999E-2</v>
      </c>
      <c r="F172">
        <v>-6.2199999999999998E-3</v>
      </c>
      <c r="G172">
        <v>-1.2919999999999999E-2</v>
      </c>
      <c r="H172">
        <v>-1.319E-2</v>
      </c>
      <c r="I172">
        <v>-1.2200000000000001E-2</v>
      </c>
      <c r="J172">
        <v>-5.4099999999999999E-3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-1.2279999999999999E-2</v>
      </c>
      <c r="R172">
        <v>0</v>
      </c>
      <c r="S172">
        <v>0</v>
      </c>
      <c r="T172">
        <v>0</v>
      </c>
      <c r="U172">
        <v>-4.5300000000000002E-3</v>
      </c>
      <c r="V172">
        <v>0</v>
      </c>
      <c r="W172">
        <v>0</v>
      </c>
      <c r="X172">
        <v>1.43E-2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-1.1610000000000001E-2</v>
      </c>
      <c r="AH172">
        <v>0</v>
      </c>
      <c r="AI172">
        <v>0</v>
      </c>
    </row>
    <row r="173" spans="1:35" x14ac:dyDescent="0.25">
      <c r="A173" s="1">
        <v>43921</v>
      </c>
      <c r="B173">
        <v>-0.10920000000000001</v>
      </c>
      <c r="C173">
        <v>-0.14729999999999999</v>
      </c>
      <c r="D173">
        <v>-0.12511928245982329</v>
      </c>
      <c r="E173">
        <v>-6.9800000000000001E-3</v>
      </c>
      <c r="F173">
        <v>3.5000000000000001E-3</v>
      </c>
      <c r="G173">
        <v>-4.5789999999999997E-2</v>
      </c>
      <c r="H173">
        <v>-2.4879999999999999E-2</v>
      </c>
      <c r="I173">
        <v>-4.1900000000000001E-3</v>
      </c>
      <c r="J173">
        <v>-6.6E-3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-2.2460000000000001E-2</v>
      </c>
      <c r="R173">
        <v>0</v>
      </c>
      <c r="S173">
        <v>0</v>
      </c>
      <c r="T173">
        <v>0</v>
      </c>
      <c r="U173">
        <v>-2.65E-3</v>
      </c>
      <c r="V173">
        <v>0</v>
      </c>
      <c r="W173">
        <v>0</v>
      </c>
      <c r="X173">
        <v>-2.3999999999999998E-3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3.2399999999999998E-3</v>
      </c>
      <c r="AH173">
        <v>0</v>
      </c>
      <c r="AI173">
        <v>0</v>
      </c>
    </row>
    <row r="174" spans="1:35" x14ac:dyDescent="0.25">
      <c r="A174" s="1">
        <v>43951</v>
      </c>
      <c r="B174">
        <v>9.8799999999999999E-2</v>
      </c>
      <c r="C174">
        <v>0.1164</v>
      </c>
      <c r="D174">
        <v>0.12684403825663826</v>
      </c>
      <c r="E174">
        <v>1.554E-2</v>
      </c>
      <c r="F174">
        <v>2.6890000000000001E-2</v>
      </c>
      <c r="G174">
        <v>-5.4400000000000004E-3</v>
      </c>
      <c r="H174">
        <v>1.328E-2</v>
      </c>
      <c r="I174">
        <v>1.4109999999999999E-2</v>
      </c>
      <c r="J174">
        <v>1.1800000000000001E-3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7.3600000000000002E-3</v>
      </c>
      <c r="R174">
        <v>0</v>
      </c>
      <c r="S174">
        <v>0</v>
      </c>
      <c r="T174">
        <v>0</v>
      </c>
      <c r="U174">
        <v>1.363E-2</v>
      </c>
      <c r="V174">
        <v>0</v>
      </c>
      <c r="W174">
        <v>0</v>
      </c>
      <c r="X174">
        <v>1.0880000000000001E-2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1.33E-3</v>
      </c>
      <c r="AH174">
        <v>0</v>
      </c>
      <c r="AI174">
        <v>0</v>
      </c>
    </row>
    <row r="175" spans="1:35" x14ac:dyDescent="0.25">
      <c r="A175" s="1">
        <v>43980</v>
      </c>
      <c r="B175">
        <v>5.1499999999999997E-2</v>
      </c>
      <c r="C175">
        <v>1.7000000000000001E-2</v>
      </c>
      <c r="D175">
        <v>4.5281819676065593E-2</v>
      </c>
      <c r="E175">
        <v>8.5000000000000006E-3</v>
      </c>
      <c r="F175">
        <v>-1.2800000000000001E-3</v>
      </c>
      <c r="G175">
        <v>3.4299999999999999E-3</v>
      </c>
      <c r="H175">
        <v>2.9E-4</v>
      </c>
      <c r="I175">
        <v>5.3E-3</v>
      </c>
      <c r="J175">
        <v>3.2200000000000002E-3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1.6199999999999999E-3</v>
      </c>
      <c r="R175">
        <v>0</v>
      </c>
      <c r="S175">
        <v>0</v>
      </c>
      <c r="T175">
        <v>0</v>
      </c>
      <c r="U175">
        <v>2.5400000000000002E-3</v>
      </c>
      <c r="V175">
        <v>0</v>
      </c>
      <c r="W175">
        <v>0</v>
      </c>
      <c r="X175">
        <v>2.147E-2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6.4000000000000003E-3</v>
      </c>
      <c r="AH175">
        <v>0</v>
      </c>
      <c r="AI175">
        <v>0</v>
      </c>
    </row>
    <row r="176" spans="1:35" x14ac:dyDescent="0.25">
      <c r="A176" s="1">
        <v>44012</v>
      </c>
      <c r="B176">
        <v>8.7800000000000003E-2</v>
      </c>
      <c r="C176">
        <v>3.8399999999999997E-2</v>
      </c>
      <c r="D176">
        <v>1.8388396357494674E-2</v>
      </c>
      <c r="E176">
        <v>1.474E-2</v>
      </c>
      <c r="F176">
        <v>1.2959999999999999E-2</v>
      </c>
      <c r="G176">
        <v>2.5680000000000001E-2</v>
      </c>
      <c r="H176">
        <v>-7.9000000000000001E-4</v>
      </c>
      <c r="I176">
        <v>3.6099999999999999E-3</v>
      </c>
      <c r="J176">
        <v>5.3E-3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-3.3400000000000001E-3</v>
      </c>
      <c r="R176">
        <v>0</v>
      </c>
      <c r="S176">
        <v>0</v>
      </c>
      <c r="T176">
        <v>0</v>
      </c>
      <c r="U176">
        <v>1.106E-2</v>
      </c>
      <c r="V176">
        <v>0</v>
      </c>
      <c r="W176">
        <v>0</v>
      </c>
      <c r="X176">
        <v>7.0600000000000003E-3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1.15E-2</v>
      </c>
      <c r="AH176">
        <v>0</v>
      </c>
      <c r="AI176">
        <v>0</v>
      </c>
    </row>
    <row r="177" spans="1:35" x14ac:dyDescent="0.25">
      <c r="A177" s="1">
        <v>44043</v>
      </c>
      <c r="B177">
        <v>7.8299999999999995E-2</v>
      </c>
      <c r="C177">
        <v>4.3400000000000001E-2</v>
      </c>
      <c r="D177">
        <v>5.5101321441235696E-2</v>
      </c>
      <c r="E177">
        <v>1.651E-2</v>
      </c>
      <c r="F177">
        <v>1.4710000000000001E-2</v>
      </c>
      <c r="G177">
        <v>-1.38E-2</v>
      </c>
      <c r="H177">
        <v>4.7600000000000003E-3</v>
      </c>
      <c r="I177">
        <v>5.6800000000000002E-3</v>
      </c>
      <c r="J177">
        <v>5.8599999999999998E-3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3.7000000000000002E-3</v>
      </c>
      <c r="R177">
        <v>0</v>
      </c>
      <c r="S177">
        <v>0</v>
      </c>
      <c r="T177">
        <v>0</v>
      </c>
      <c r="U177">
        <v>7.3999999999999999E-4</v>
      </c>
      <c r="V177">
        <v>0</v>
      </c>
      <c r="W177">
        <v>0</v>
      </c>
      <c r="X177">
        <v>1.176E-2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2.8400000000000002E-2</v>
      </c>
      <c r="AH177">
        <v>0</v>
      </c>
      <c r="AI177">
        <v>0</v>
      </c>
    </row>
    <row r="178" spans="1:35" x14ac:dyDescent="0.25">
      <c r="A178" s="1">
        <v>44074</v>
      </c>
      <c r="B178">
        <v>0.1086</v>
      </c>
      <c r="C178">
        <v>5.5500000000000001E-2</v>
      </c>
      <c r="D178">
        <v>7.0064667087246457E-2</v>
      </c>
      <c r="E178">
        <v>2.163E-2</v>
      </c>
      <c r="F178">
        <v>9.0500000000000008E-3</v>
      </c>
      <c r="G178">
        <v>8.7500000000000008E-3</v>
      </c>
      <c r="H178">
        <v>3.46E-3</v>
      </c>
      <c r="I178">
        <v>3.3400000000000001E-3</v>
      </c>
      <c r="J178">
        <v>7.1000000000000004E-3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3.6700000000000001E-3</v>
      </c>
      <c r="R178">
        <v>0</v>
      </c>
      <c r="S178">
        <v>0</v>
      </c>
      <c r="T178">
        <v>0</v>
      </c>
      <c r="U178">
        <v>1.026E-2</v>
      </c>
      <c r="V178">
        <v>0</v>
      </c>
      <c r="W178">
        <v>0</v>
      </c>
      <c r="X178">
        <v>2.5999999999999999E-2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1.532E-2</v>
      </c>
      <c r="AH178">
        <v>0</v>
      </c>
      <c r="AI178">
        <v>0</v>
      </c>
    </row>
    <row r="179" spans="1:35" x14ac:dyDescent="0.25">
      <c r="A179" s="1">
        <v>44104</v>
      </c>
      <c r="B179">
        <v>-3.5900000000000001E-2</v>
      </c>
      <c r="C179">
        <v>-2.63E-2</v>
      </c>
      <c r="D179">
        <v>-3.9227970289931413E-2</v>
      </c>
      <c r="E179">
        <v>-1.025E-2</v>
      </c>
      <c r="F179">
        <v>-8.7600000000000004E-3</v>
      </c>
      <c r="G179">
        <v>-3.82E-3</v>
      </c>
      <c r="H179">
        <v>-5.7099999999999998E-3</v>
      </c>
      <c r="I179">
        <v>-4.5500000000000002E-3</v>
      </c>
      <c r="J179">
        <v>4.81E-3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-3.9100000000000003E-3</v>
      </c>
      <c r="R179">
        <v>0</v>
      </c>
      <c r="S179">
        <v>0</v>
      </c>
      <c r="T179">
        <v>0</v>
      </c>
      <c r="U179">
        <v>-6.7400000000000003E-3</v>
      </c>
      <c r="V179">
        <v>0</v>
      </c>
      <c r="W179">
        <v>0</v>
      </c>
      <c r="X179">
        <v>1.1999999999999999E-3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1.8400000000000001E-3</v>
      </c>
      <c r="AH179">
        <v>0</v>
      </c>
      <c r="AI179">
        <v>0</v>
      </c>
    </row>
    <row r="180" spans="1:35" x14ac:dyDescent="0.25">
      <c r="A180" s="1">
        <v>44134</v>
      </c>
      <c r="B180">
        <v>-2.5600000000000001E-2</v>
      </c>
      <c r="C180">
        <v>-1.61E-2</v>
      </c>
      <c r="D180">
        <v>-2.766578620279514E-2</v>
      </c>
      <c r="E180">
        <v>-6.0000000000000001E-3</v>
      </c>
      <c r="F180">
        <v>-3.5799999999999998E-3</v>
      </c>
      <c r="G180">
        <v>-1.2630000000000001E-2</v>
      </c>
      <c r="H180">
        <v>-1.6199999999999999E-3</v>
      </c>
      <c r="I180">
        <v>6.3299999999999997E-3</v>
      </c>
      <c r="J180">
        <v>5.9899999999999997E-3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2.7699999999999999E-3</v>
      </c>
      <c r="R180">
        <v>0</v>
      </c>
      <c r="S180">
        <v>0</v>
      </c>
      <c r="T180">
        <v>0</v>
      </c>
      <c r="U180">
        <v>-3.7399999999999998E-3</v>
      </c>
      <c r="V180">
        <v>0</v>
      </c>
      <c r="W180">
        <v>0</v>
      </c>
      <c r="X180">
        <v>-7.3600000000000002E-3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-5.7099999999999998E-3</v>
      </c>
      <c r="AH180">
        <v>0</v>
      </c>
      <c r="AI180">
        <v>0</v>
      </c>
    </row>
    <row r="181" spans="1:35" x14ac:dyDescent="0.25">
      <c r="A181" s="1">
        <v>44165</v>
      </c>
      <c r="B181">
        <v>0.1484</v>
      </c>
      <c r="C181">
        <v>0.15110000000000001</v>
      </c>
      <c r="D181">
        <v>0.10754563548003038</v>
      </c>
      <c r="E181">
        <v>9.5499999999999995E-3</v>
      </c>
      <c r="F181">
        <v>4.3400000000000001E-3</v>
      </c>
      <c r="G181">
        <v>4.5929999999999999E-2</v>
      </c>
      <c r="H181">
        <v>1.882E-2</v>
      </c>
      <c r="I181">
        <v>1.6549999999999999E-2</v>
      </c>
      <c r="J181">
        <v>1.0529999999999999E-2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2.0240000000000001E-2</v>
      </c>
      <c r="R181">
        <v>0</v>
      </c>
      <c r="S181">
        <v>0</v>
      </c>
      <c r="T181">
        <v>0</v>
      </c>
      <c r="U181">
        <v>6.0099999999999997E-3</v>
      </c>
      <c r="V181">
        <v>0</v>
      </c>
      <c r="W181">
        <v>0</v>
      </c>
      <c r="X181">
        <v>6.9199999999999999E-3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9.5300000000000003E-3</v>
      </c>
      <c r="AH181">
        <v>0</v>
      </c>
      <c r="AI181">
        <v>0</v>
      </c>
    </row>
    <row r="182" spans="1:35" x14ac:dyDescent="0.25">
      <c r="A182" s="1">
        <v>44196</v>
      </c>
      <c r="B182">
        <v>4.0399999999999998E-2</v>
      </c>
      <c r="C182">
        <v>4.2900000000000001E-2</v>
      </c>
      <c r="D182">
        <v>3.7121458940645669E-2</v>
      </c>
      <c r="E182">
        <v>1.146E-2</v>
      </c>
      <c r="F182">
        <v>2.81E-3</v>
      </c>
      <c r="G182">
        <v>1.5900000000000001E-3</v>
      </c>
      <c r="H182">
        <v>8.2699999999999996E-3</v>
      </c>
      <c r="I182">
        <v>3.8400000000000001E-3</v>
      </c>
      <c r="J182">
        <v>4.8599999999999997E-3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7.7999999999999996E-3</v>
      </c>
      <c r="R182">
        <v>0</v>
      </c>
      <c r="S182">
        <v>0</v>
      </c>
      <c r="T182">
        <v>0</v>
      </c>
      <c r="U182">
        <v>3.8999999999999998E-3</v>
      </c>
      <c r="V182">
        <v>0</v>
      </c>
      <c r="W182">
        <v>0</v>
      </c>
      <c r="X182">
        <v>-2.5600000000000002E-3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-1.56E-3</v>
      </c>
      <c r="AH182">
        <v>0</v>
      </c>
      <c r="AI182">
        <v>0</v>
      </c>
    </row>
    <row r="183" spans="1:35" x14ac:dyDescent="0.25">
      <c r="A183" s="10">
        <f>YEAR(A182)</f>
        <v>2020</v>
      </c>
      <c r="B183" s="5" cm="1">
        <f t="array" ref="B183">PRODUCT(1+B171:B182)-1</f>
        <v>0.37766347120280974</v>
      </c>
      <c r="C183" s="5" cm="1">
        <f t="array" ref="C183">PRODUCT(1+C171:C182)-1</f>
        <v>0.14619146217098655</v>
      </c>
      <c r="D183" s="5" cm="1">
        <f t="array" ref="D183">PRODUCT(1+D171:D182)-1</f>
        <v>0.16258923055265706</v>
      </c>
      <c r="E183" s="5" cm="1">
        <f t="array" ref="E183">PRODUCT(1+E171:E182)-1</f>
        <v>7.0103423009467702E-2</v>
      </c>
      <c r="F183" s="5" cm="1">
        <f t="array" ref="F183">PRODUCT(1+F171:F182)-1</f>
        <v>6.441067439476611E-2</v>
      </c>
      <c r="G183" s="5" cm="1">
        <f t="array" ref="G183">PRODUCT(1+G171:G182)-1</f>
        <v>-1.3981333882597258E-2</v>
      </c>
      <c r="H183" s="5" cm="1">
        <f t="array" ref="H183">PRODUCT(1+H171:H182)-1</f>
        <v>-4.8454963776575211E-3</v>
      </c>
      <c r="I183" s="5" cm="1">
        <f t="array" ref="I183">PRODUCT(1+I171:I182)-1</f>
        <v>4.3218142832197826E-2</v>
      </c>
      <c r="J183" s="5" cm="1">
        <f t="array" ref="J183">PRODUCT(1+J171:J182)-1</f>
        <v>2.6578182607522427E-2</v>
      </c>
      <c r="K183" s="5" cm="1">
        <f t="array" ref="K183">PRODUCT(1+K171:K182)-1</f>
        <v>0</v>
      </c>
      <c r="L183" s="5" cm="1">
        <f t="array" ref="L183">PRODUCT(1+L171:L182)-1</f>
        <v>0</v>
      </c>
      <c r="M183" s="5" cm="1">
        <f t="array" ref="M183">PRODUCT(1+M171:M182)-1</f>
        <v>0</v>
      </c>
      <c r="N183" s="5" cm="1">
        <f t="array" ref="N183">PRODUCT(1+N171:N182)-1</f>
        <v>0</v>
      </c>
      <c r="O183" s="5" cm="1">
        <f t="array" ref="O183">PRODUCT(1+O171:O182)-1</f>
        <v>0</v>
      </c>
      <c r="P183" s="5" cm="1">
        <f t="array" ref="P183">PRODUCT(1+P171:P182)-1</f>
        <v>0</v>
      </c>
      <c r="Q183" s="5" cm="1">
        <f t="array" ref="Q183">PRODUCT(1+Q171:Q182)-1</f>
        <v>1.369491718892224E-4</v>
      </c>
      <c r="R183" s="5" cm="1">
        <f t="array" ref="R183">PRODUCT(1+R171:R182)-1</f>
        <v>0</v>
      </c>
      <c r="S183" s="5" cm="1">
        <f t="array" ref="S183">PRODUCT(1+S171:S182)-1</f>
        <v>0</v>
      </c>
      <c r="T183" s="5" cm="1">
        <f t="array" ref="T183">PRODUCT(1+T171:T182)-1</f>
        <v>0</v>
      </c>
      <c r="U183" s="5" cm="1">
        <f t="array" ref="U183">PRODUCT(1+U171:U182)-1</f>
        <v>3.8856737106184536E-2</v>
      </c>
      <c r="V183" s="5" cm="1">
        <f t="array" ref="V183">PRODUCT(1+V171:V182)-1</f>
        <v>0</v>
      </c>
      <c r="W183" s="5" cm="1">
        <f t="array" ref="W183">PRODUCT(1+W171:W182)-1</f>
        <v>0</v>
      </c>
      <c r="X183" s="5" cm="1">
        <f t="array" ref="X183">PRODUCT(1+X171:X182)-1</f>
        <v>9.0764690477327159E-2</v>
      </c>
      <c r="Y183" s="5" cm="1">
        <f t="array" ref="Y183">PRODUCT(1+Y171:Y182)-1</f>
        <v>0</v>
      </c>
      <c r="Z183" s="5" cm="1">
        <f t="array" ref="Z183">PRODUCT(1+Z171:Z182)-1</f>
        <v>0</v>
      </c>
      <c r="AA183" s="5" cm="1">
        <f t="array" ref="AA183">PRODUCT(1+AA171:AA182)-1</f>
        <v>0</v>
      </c>
      <c r="AB183" s="5" cm="1">
        <f t="array" ref="AB183">PRODUCT(1+AB171:AB182)-1</f>
        <v>0</v>
      </c>
      <c r="AC183" s="5" cm="1">
        <f t="array" ref="AC183">PRODUCT(1+AC171:AC182)-1</f>
        <v>0</v>
      </c>
      <c r="AD183" s="5" cm="1">
        <f t="array" ref="AD183">PRODUCT(1+AD171:AD182)-1</f>
        <v>0</v>
      </c>
      <c r="AE183" s="5" cm="1">
        <f t="array" ref="AE183">PRODUCT(1+AE171:AE182)-1</f>
        <v>0</v>
      </c>
      <c r="AF183" s="5" cm="1">
        <f t="array" ref="AF183">PRODUCT(1+AF171:AF182)-1</f>
        <v>0</v>
      </c>
      <c r="AG183" s="5" cm="1">
        <f t="array" ref="AG183">PRODUCT(1+AG171:AG182)-1</f>
        <v>4.7394991388914454E-2</v>
      </c>
      <c r="AH183" s="5" cm="1">
        <f t="array" ref="AH183">PRODUCT(1+AH171:AH182)-1</f>
        <v>0</v>
      </c>
      <c r="AI183" s="5" cm="1">
        <f t="array" ref="AI183">PRODUCT(1+AI171:AI182)-1</f>
        <v>0</v>
      </c>
    </row>
    <row r="184" spans="1:35" x14ac:dyDescent="0.25">
      <c r="A184" s="1">
        <v>44225</v>
      </c>
      <c r="B184">
        <v>5.4999999999999997E-3</v>
      </c>
      <c r="C184">
        <v>-9.7999999999999997E-3</v>
      </c>
      <c r="D184">
        <v>-1.1136660723231162E-2</v>
      </c>
      <c r="E184">
        <v>-5.5000000000000003E-4</v>
      </c>
      <c r="F184">
        <v>-1.5399999999999999E-3</v>
      </c>
      <c r="G184">
        <v>-4.4999999999999997E-3</v>
      </c>
      <c r="H184">
        <v>-2.1800000000000001E-3</v>
      </c>
      <c r="I184">
        <v>-2.5600000000000002E-3</v>
      </c>
      <c r="J184">
        <v>0</v>
      </c>
      <c r="K184">
        <v>0</v>
      </c>
      <c r="L184" s="2">
        <v>8.0000000000000007E-5</v>
      </c>
      <c r="M184">
        <v>0</v>
      </c>
      <c r="N184">
        <v>-5.4099999999999999E-3</v>
      </c>
      <c r="O184">
        <v>0</v>
      </c>
      <c r="P184">
        <v>0</v>
      </c>
      <c r="Q184">
        <v>1.06E-3</v>
      </c>
      <c r="R184">
        <v>0</v>
      </c>
      <c r="S184">
        <v>0</v>
      </c>
      <c r="T184" s="2">
        <v>2.0000000000000002E-5</v>
      </c>
      <c r="U184">
        <v>0</v>
      </c>
      <c r="V184">
        <v>0</v>
      </c>
      <c r="W184">
        <v>0</v>
      </c>
      <c r="X184">
        <v>-3.2000000000000003E-4</v>
      </c>
      <c r="Y184">
        <v>8.1200000000000005E-3</v>
      </c>
      <c r="Z184">
        <v>0</v>
      </c>
      <c r="AA184">
        <v>0</v>
      </c>
      <c r="AB184">
        <v>0</v>
      </c>
      <c r="AC184">
        <v>5.64E-3</v>
      </c>
      <c r="AD184">
        <v>0</v>
      </c>
      <c r="AE184">
        <v>3.0899999999999999E-3</v>
      </c>
      <c r="AF184">
        <v>0</v>
      </c>
      <c r="AG184">
        <v>-3.7599999999999999E-3</v>
      </c>
      <c r="AH184">
        <v>0</v>
      </c>
      <c r="AI184">
        <v>8.3300000000000006E-3</v>
      </c>
    </row>
    <row r="185" spans="1:35" x14ac:dyDescent="0.25">
      <c r="A185" s="1">
        <v>44253</v>
      </c>
      <c r="B185">
        <v>0.1091</v>
      </c>
      <c r="C185">
        <v>0.06</v>
      </c>
      <c r="D185">
        <v>2.6091451349647521E-2</v>
      </c>
      <c r="E185">
        <v>-7.9500000000000005E-3</v>
      </c>
      <c r="F185">
        <v>-3.49E-3</v>
      </c>
      <c r="G185">
        <v>4.45E-3</v>
      </c>
      <c r="H185">
        <v>1.7069999999999998E-2</v>
      </c>
      <c r="I185">
        <v>-8.8000000000000003E-4</v>
      </c>
      <c r="J185" s="2">
        <v>5.0000000000000002E-5</v>
      </c>
      <c r="K185">
        <v>0</v>
      </c>
      <c r="L185">
        <v>2.4680000000000001E-2</v>
      </c>
      <c r="M185">
        <v>0</v>
      </c>
      <c r="N185">
        <v>9.3600000000000003E-3</v>
      </c>
      <c r="O185">
        <v>0</v>
      </c>
      <c r="P185">
        <v>0</v>
      </c>
      <c r="Q185">
        <v>7.7600000000000004E-3</v>
      </c>
      <c r="R185">
        <v>0</v>
      </c>
      <c r="S185">
        <v>0</v>
      </c>
      <c r="T185" s="2">
        <v>2.0000000000000002E-5</v>
      </c>
      <c r="U185">
        <v>0</v>
      </c>
      <c r="V185">
        <v>0</v>
      </c>
      <c r="W185">
        <v>0</v>
      </c>
      <c r="X185">
        <v>3.62E-3</v>
      </c>
      <c r="Y185">
        <v>1.669E-2</v>
      </c>
      <c r="Z185">
        <v>0</v>
      </c>
      <c r="AA185">
        <v>0</v>
      </c>
      <c r="AB185">
        <v>0</v>
      </c>
      <c r="AC185">
        <v>1.353E-2</v>
      </c>
      <c r="AD185">
        <v>0</v>
      </c>
      <c r="AE185">
        <v>9.7999999999999997E-4</v>
      </c>
      <c r="AF185">
        <v>0</v>
      </c>
      <c r="AG185">
        <v>1.17E-3</v>
      </c>
      <c r="AH185">
        <v>0</v>
      </c>
      <c r="AI185">
        <v>2.2009999999999998E-2</v>
      </c>
    </row>
    <row r="186" spans="1:35" x14ac:dyDescent="0.25">
      <c r="A186" s="1">
        <v>44286</v>
      </c>
      <c r="B186">
        <v>3.6299999999999999E-2</v>
      </c>
      <c r="C186">
        <v>5.4300000000000001E-2</v>
      </c>
      <c r="D186">
        <v>4.2438632737883841E-2</v>
      </c>
      <c r="E186">
        <v>7.2999999999999996E-4</v>
      </c>
      <c r="F186" s="2">
        <v>4.0000000000000003E-5</v>
      </c>
      <c r="G186">
        <v>9.7699999999999992E-3</v>
      </c>
      <c r="H186">
        <v>1.1979999999999999E-2</v>
      </c>
      <c r="I186">
        <v>8.3499999999999998E-3</v>
      </c>
      <c r="J186" s="2">
        <v>2.0000000000000002E-5</v>
      </c>
      <c r="K186">
        <v>0</v>
      </c>
      <c r="L186">
        <v>1.47E-3</v>
      </c>
      <c r="M186">
        <v>0</v>
      </c>
      <c r="N186">
        <v>-1.8E-3</v>
      </c>
      <c r="O186">
        <v>0</v>
      </c>
      <c r="P186">
        <v>0</v>
      </c>
      <c r="Q186">
        <v>1.8600000000000001E-3</v>
      </c>
      <c r="R186">
        <v>0</v>
      </c>
      <c r="S186">
        <v>0</v>
      </c>
      <c r="T186">
        <v>4.2999999999999999E-4</v>
      </c>
      <c r="U186">
        <v>0</v>
      </c>
      <c r="V186">
        <v>0</v>
      </c>
      <c r="W186">
        <v>0</v>
      </c>
      <c r="X186">
        <v>-1.7099999999999999E-3</v>
      </c>
      <c r="Y186" s="2">
        <v>4.0000000000000003E-5</v>
      </c>
      <c r="Z186">
        <v>0</v>
      </c>
      <c r="AA186">
        <v>0</v>
      </c>
      <c r="AB186">
        <v>0</v>
      </c>
      <c r="AC186">
        <v>4.6999999999999999E-4</v>
      </c>
      <c r="AD186">
        <v>0</v>
      </c>
      <c r="AE186">
        <v>-1.5499999999999999E-3</v>
      </c>
      <c r="AF186">
        <v>0</v>
      </c>
      <c r="AG186">
        <v>3.64E-3</v>
      </c>
      <c r="AH186">
        <v>0</v>
      </c>
      <c r="AI186">
        <v>2.5500000000000002E-3</v>
      </c>
    </row>
    <row r="187" spans="1:35" x14ac:dyDescent="0.25">
      <c r="A187" s="1">
        <v>44316</v>
      </c>
      <c r="B187">
        <v>4.9399999999999999E-2</v>
      </c>
      <c r="C187">
        <v>0.04</v>
      </c>
      <c r="D187">
        <v>5.2425321267266289E-2</v>
      </c>
      <c r="E187">
        <v>7.62E-3</v>
      </c>
      <c r="F187">
        <v>1.192E-2</v>
      </c>
      <c r="G187">
        <v>-3.8899999999999998E-3</v>
      </c>
      <c r="H187">
        <v>4.7600000000000003E-3</v>
      </c>
      <c r="I187">
        <v>7.9000000000000008E-3</v>
      </c>
      <c r="J187">
        <v>0</v>
      </c>
      <c r="K187">
        <v>0</v>
      </c>
      <c r="L187">
        <v>-2.7499999999999998E-3</v>
      </c>
      <c r="M187">
        <v>0</v>
      </c>
      <c r="N187">
        <v>6.0999999999999997E-4</v>
      </c>
      <c r="O187">
        <v>0</v>
      </c>
      <c r="P187">
        <v>0</v>
      </c>
      <c r="Q187">
        <v>8.8000000000000003E-4</v>
      </c>
      <c r="R187">
        <v>0</v>
      </c>
      <c r="S187">
        <v>0</v>
      </c>
      <c r="T187">
        <v>1E-4</v>
      </c>
      <c r="U187">
        <v>0</v>
      </c>
      <c r="V187">
        <v>0</v>
      </c>
      <c r="W187">
        <v>0</v>
      </c>
      <c r="X187">
        <v>8.0599999999999995E-3</v>
      </c>
      <c r="Y187">
        <v>-2.4199999999999998E-3</v>
      </c>
      <c r="Z187">
        <v>0</v>
      </c>
      <c r="AA187">
        <v>0</v>
      </c>
      <c r="AB187">
        <v>0</v>
      </c>
      <c r="AC187">
        <v>5.13E-3</v>
      </c>
      <c r="AD187">
        <v>0</v>
      </c>
      <c r="AE187">
        <v>-3.5E-4</v>
      </c>
      <c r="AF187">
        <v>0</v>
      </c>
      <c r="AG187">
        <v>9.4199999999999996E-3</v>
      </c>
      <c r="AH187">
        <v>0</v>
      </c>
      <c r="AI187">
        <v>2.3999999999999998E-3</v>
      </c>
    </row>
    <row r="188" spans="1:35" x14ac:dyDescent="0.25">
      <c r="A188" s="1">
        <v>44344</v>
      </c>
      <c r="B188">
        <v>2.6499999999999999E-2</v>
      </c>
      <c r="C188">
        <v>2.3199999999999998E-2</v>
      </c>
      <c r="D188">
        <v>5.4864885732810453E-3</v>
      </c>
      <c r="E188">
        <v>-5.0400000000000002E-3</v>
      </c>
      <c r="F188">
        <v>-6.96E-3</v>
      </c>
      <c r="G188">
        <v>2.63E-3</v>
      </c>
      <c r="H188">
        <v>4.5900000000000003E-3</v>
      </c>
      <c r="I188">
        <v>6.43E-3</v>
      </c>
      <c r="J188" s="2">
        <v>2.0000000000000002E-5</v>
      </c>
      <c r="K188">
        <v>0</v>
      </c>
      <c r="L188">
        <v>7.8300000000000002E-3</v>
      </c>
      <c r="M188">
        <v>0</v>
      </c>
      <c r="N188">
        <v>-2.99E-3</v>
      </c>
      <c r="O188">
        <v>0</v>
      </c>
      <c r="P188">
        <v>0</v>
      </c>
      <c r="Q188">
        <v>3.6600000000000001E-3</v>
      </c>
      <c r="R188">
        <v>0</v>
      </c>
      <c r="S188">
        <v>0</v>
      </c>
      <c r="T188">
        <v>1.6000000000000001E-4</v>
      </c>
      <c r="U188">
        <v>0</v>
      </c>
      <c r="V188">
        <v>0</v>
      </c>
      <c r="W188">
        <v>0</v>
      </c>
      <c r="X188">
        <v>5.3299999999999997E-3</v>
      </c>
      <c r="Y188">
        <v>1.2099999999999999E-3</v>
      </c>
      <c r="Z188">
        <v>0</v>
      </c>
      <c r="AA188">
        <v>0</v>
      </c>
      <c r="AB188">
        <v>0</v>
      </c>
      <c r="AC188">
        <v>3.49E-3</v>
      </c>
      <c r="AD188">
        <v>0</v>
      </c>
      <c r="AE188">
        <v>1.3999999999999999E-4</v>
      </c>
      <c r="AF188">
        <v>0</v>
      </c>
      <c r="AG188">
        <v>2.7299999999999998E-3</v>
      </c>
      <c r="AH188">
        <v>0</v>
      </c>
      <c r="AI188">
        <v>3.32E-3</v>
      </c>
    </row>
    <row r="189" spans="1:35" x14ac:dyDescent="0.25">
      <c r="A189" s="1">
        <v>44377</v>
      </c>
      <c r="B189">
        <v>4.9599999999999998E-2</v>
      </c>
      <c r="C189">
        <v>1.52E-2</v>
      </c>
      <c r="D189">
        <v>2.2214009634219822E-2</v>
      </c>
      <c r="E189">
        <v>9.9100000000000004E-3</v>
      </c>
      <c r="F189">
        <v>6.6499999999999997E-3</v>
      </c>
      <c r="G189">
        <v>-1.4599999999999999E-3</v>
      </c>
      <c r="H189">
        <v>-2.31E-3</v>
      </c>
      <c r="I189">
        <v>2.1000000000000001E-4</v>
      </c>
      <c r="J189" s="2">
        <v>-3.0000000000000001E-5</v>
      </c>
      <c r="K189">
        <v>0</v>
      </c>
      <c r="L189">
        <v>7.3699999999999998E-3</v>
      </c>
      <c r="M189">
        <v>0</v>
      </c>
      <c r="N189">
        <v>-1.2199999999999999E-3</v>
      </c>
      <c r="O189">
        <v>0</v>
      </c>
      <c r="P189">
        <v>0</v>
      </c>
      <c r="Q189">
        <v>-2.8600000000000001E-3</v>
      </c>
      <c r="R189">
        <v>0</v>
      </c>
      <c r="S189">
        <v>0</v>
      </c>
      <c r="T189" s="2">
        <v>-9.0000000000000006E-5</v>
      </c>
      <c r="U189">
        <v>0</v>
      </c>
      <c r="V189">
        <v>0</v>
      </c>
      <c r="W189">
        <v>0</v>
      </c>
      <c r="X189">
        <v>1.5010000000000001E-2</v>
      </c>
      <c r="Y189">
        <v>1.047E-2</v>
      </c>
      <c r="Z189">
        <v>0</v>
      </c>
      <c r="AA189">
        <v>0</v>
      </c>
      <c r="AB189">
        <v>0</v>
      </c>
      <c r="AC189">
        <v>9.7000000000000005E-4</v>
      </c>
      <c r="AD189">
        <v>0</v>
      </c>
      <c r="AE189">
        <v>7.5000000000000002E-4</v>
      </c>
      <c r="AF189">
        <v>0</v>
      </c>
      <c r="AG189">
        <v>-1.4599999999999999E-3</v>
      </c>
      <c r="AH189">
        <v>0</v>
      </c>
      <c r="AI189">
        <v>7.6600000000000001E-3</v>
      </c>
    </row>
    <row r="190" spans="1:35" x14ac:dyDescent="0.25">
      <c r="A190" s="1">
        <v>44407</v>
      </c>
      <c r="B190">
        <v>-3.7999999999999999E-2</v>
      </c>
      <c r="C190">
        <v>-4.0000000000000001E-3</v>
      </c>
      <c r="D190">
        <v>2.2748054915648686E-2</v>
      </c>
      <c r="E190">
        <v>6.4999999999999997E-3</v>
      </c>
      <c r="F190">
        <v>-3.2299999999999998E-3</v>
      </c>
      <c r="G190">
        <v>-2.65E-3</v>
      </c>
      <c r="H190">
        <v>-6.96E-3</v>
      </c>
      <c r="I190">
        <v>-8.0999999999999996E-4</v>
      </c>
      <c r="J190" s="2">
        <v>-1.0000000000000001E-5</v>
      </c>
      <c r="K190">
        <v>0</v>
      </c>
      <c r="L190">
        <v>-5.7600000000000004E-3</v>
      </c>
      <c r="M190">
        <v>0</v>
      </c>
      <c r="N190">
        <v>1.1E-4</v>
      </c>
      <c r="O190">
        <v>0</v>
      </c>
      <c r="P190">
        <v>0</v>
      </c>
      <c r="Q190">
        <v>-9.8999999999999999E-4</v>
      </c>
      <c r="R190">
        <v>0</v>
      </c>
      <c r="S190">
        <v>0</v>
      </c>
      <c r="T190" s="2">
        <v>-1.0000000000000001E-5</v>
      </c>
      <c r="U190">
        <v>0</v>
      </c>
      <c r="V190">
        <v>0</v>
      </c>
      <c r="W190">
        <v>0</v>
      </c>
      <c r="X190">
        <v>-1.6299999999999999E-3</v>
      </c>
      <c r="Y190">
        <v>-8.4499999999999992E-3</v>
      </c>
      <c r="Z190">
        <v>0</v>
      </c>
      <c r="AA190">
        <v>0</v>
      </c>
      <c r="AB190">
        <v>0</v>
      </c>
      <c r="AC190">
        <v>-1.23E-3</v>
      </c>
      <c r="AD190">
        <v>0</v>
      </c>
      <c r="AE190">
        <v>-7.9000000000000001E-4</v>
      </c>
      <c r="AF190">
        <v>0</v>
      </c>
      <c r="AG190">
        <v>-3.7799999999999999E-3</v>
      </c>
      <c r="AH190">
        <v>0</v>
      </c>
      <c r="AI190">
        <v>-8.2900000000000005E-3</v>
      </c>
    </row>
    <row r="191" spans="1:35" x14ac:dyDescent="0.25">
      <c r="A191" s="1">
        <v>44439</v>
      </c>
      <c r="B191">
        <v>3.9199999999999999E-2</v>
      </c>
      <c r="C191">
        <v>2.4E-2</v>
      </c>
      <c r="D191">
        <v>2.8990416217415271E-2</v>
      </c>
      <c r="E191">
        <v>4.2399999999999998E-3</v>
      </c>
      <c r="F191">
        <v>4.2500000000000003E-3</v>
      </c>
      <c r="G191">
        <v>-1.49E-3</v>
      </c>
      <c r="H191">
        <v>8.8400000000000006E-3</v>
      </c>
      <c r="I191">
        <v>8.0099999999999998E-3</v>
      </c>
      <c r="J191" s="2">
        <v>1.0000000000000001E-5</v>
      </c>
      <c r="K191">
        <v>0</v>
      </c>
      <c r="L191">
        <v>-7.5000000000000002E-4</v>
      </c>
      <c r="M191">
        <v>0</v>
      </c>
      <c r="N191">
        <v>2.2599999999999999E-3</v>
      </c>
      <c r="O191">
        <v>0</v>
      </c>
      <c r="P191">
        <v>0</v>
      </c>
      <c r="Q191">
        <v>2.9099999999999998E-3</v>
      </c>
      <c r="R191">
        <v>0</v>
      </c>
      <c r="S191">
        <v>0</v>
      </c>
      <c r="T191" s="2">
        <v>-4.0000000000000003E-5</v>
      </c>
      <c r="U191">
        <v>0</v>
      </c>
      <c r="V191">
        <v>0</v>
      </c>
      <c r="W191">
        <v>0</v>
      </c>
      <c r="X191">
        <v>9.5999999999999992E-3</v>
      </c>
      <c r="Y191">
        <v>-8.0000000000000004E-4</v>
      </c>
      <c r="Z191">
        <v>0</v>
      </c>
      <c r="AA191">
        <v>0</v>
      </c>
      <c r="AB191">
        <v>0</v>
      </c>
      <c r="AC191">
        <v>3.9399999999999999E-3</v>
      </c>
      <c r="AD191">
        <v>0</v>
      </c>
      <c r="AE191">
        <v>5.5000000000000003E-4</v>
      </c>
      <c r="AF191">
        <v>0</v>
      </c>
      <c r="AG191">
        <v>1.31E-3</v>
      </c>
      <c r="AH191">
        <v>0</v>
      </c>
      <c r="AI191">
        <v>-3.5899999999999999E-3</v>
      </c>
    </row>
    <row r="192" spans="1:35" x14ac:dyDescent="0.25">
      <c r="A192" s="1">
        <v>44469</v>
      </c>
      <c r="B192">
        <v>-2E-3</v>
      </c>
      <c r="C192">
        <v>-3.0200000000000001E-2</v>
      </c>
      <c r="D192">
        <v>-4.7569168861786748E-2</v>
      </c>
      <c r="E192">
        <v>-6.7999999999999996E-3</v>
      </c>
      <c r="F192">
        <v>-5.2900000000000004E-3</v>
      </c>
      <c r="G192">
        <v>1E-4</v>
      </c>
      <c r="H192">
        <v>2.1800000000000001E-3</v>
      </c>
      <c r="I192">
        <v>-9.7199999999999995E-3</v>
      </c>
      <c r="J192" s="2">
        <v>-3.0000000000000001E-5</v>
      </c>
      <c r="K192">
        <v>0</v>
      </c>
      <c r="L192">
        <v>1.755E-2</v>
      </c>
      <c r="M192">
        <v>0</v>
      </c>
      <c r="N192">
        <v>-5.0400000000000002E-3</v>
      </c>
      <c r="O192">
        <v>0</v>
      </c>
      <c r="P192">
        <v>0</v>
      </c>
      <c r="Q192">
        <v>1.2600000000000001E-3</v>
      </c>
      <c r="R192">
        <v>0</v>
      </c>
      <c r="S192">
        <v>0</v>
      </c>
      <c r="T192">
        <v>-4.2999999999999999E-4</v>
      </c>
      <c r="U192">
        <v>0</v>
      </c>
      <c r="V192">
        <v>0</v>
      </c>
      <c r="W192">
        <v>0</v>
      </c>
      <c r="X192">
        <v>-4.8300000000000001E-3</v>
      </c>
      <c r="Y192">
        <v>7.7600000000000004E-3</v>
      </c>
      <c r="Z192">
        <v>0</v>
      </c>
      <c r="AA192">
        <v>0</v>
      </c>
      <c r="AB192">
        <v>0</v>
      </c>
      <c r="AC192">
        <v>-1.39E-3</v>
      </c>
      <c r="AD192">
        <v>0</v>
      </c>
      <c r="AE192">
        <v>-1.56E-3</v>
      </c>
      <c r="AF192">
        <v>0</v>
      </c>
      <c r="AG192">
        <v>-3.2699999999999999E-3</v>
      </c>
      <c r="AH192">
        <v>0</v>
      </c>
      <c r="AI192">
        <v>7.4799999999999997E-3</v>
      </c>
    </row>
    <row r="193" spans="1:35" x14ac:dyDescent="0.25">
      <c r="A193" s="1">
        <v>44498</v>
      </c>
      <c r="B193">
        <v>8.8300000000000003E-2</v>
      </c>
      <c r="C193">
        <v>6.7699999999999996E-2</v>
      </c>
      <c r="D193">
        <v>6.9143836459647501E-2</v>
      </c>
      <c r="E193">
        <v>5.8700000000000002E-3</v>
      </c>
      <c r="F193">
        <v>2.63E-3</v>
      </c>
      <c r="G193">
        <v>-2.8500000000000001E-3</v>
      </c>
      <c r="H193">
        <v>1.256E-2</v>
      </c>
      <c r="I193">
        <v>1.14E-2</v>
      </c>
      <c r="J193" s="2">
        <v>2.0000000000000002E-5</v>
      </c>
      <c r="K193">
        <v>0</v>
      </c>
      <c r="L193">
        <v>8.43E-3</v>
      </c>
      <c r="M193">
        <v>0</v>
      </c>
      <c r="N193" s="2">
        <v>-4.0000000000000003E-5</v>
      </c>
      <c r="O193">
        <v>0</v>
      </c>
      <c r="P193">
        <v>0</v>
      </c>
      <c r="Q193">
        <v>2.3800000000000002E-3</v>
      </c>
      <c r="R193">
        <v>0</v>
      </c>
      <c r="S193">
        <v>0</v>
      </c>
      <c r="T193" s="2">
        <v>8.0000000000000007E-5</v>
      </c>
      <c r="U193">
        <v>0</v>
      </c>
      <c r="V193">
        <v>0</v>
      </c>
      <c r="W193">
        <v>0</v>
      </c>
      <c r="X193">
        <v>1.5169999999999999E-2</v>
      </c>
      <c r="Y193">
        <v>6.8199999999999997E-3</v>
      </c>
      <c r="Z193">
        <v>0</v>
      </c>
      <c r="AA193">
        <v>0</v>
      </c>
      <c r="AB193">
        <v>0</v>
      </c>
      <c r="AC193">
        <v>8.0400000000000003E-3</v>
      </c>
      <c r="AD193">
        <v>0</v>
      </c>
      <c r="AE193">
        <v>5.0000000000000001E-4</v>
      </c>
      <c r="AF193">
        <v>0</v>
      </c>
      <c r="AG193">
        <v>8.1499999999999993E-3</v>
      </c>
      <c r="AH193">
        <v>0</v>
      </c>
      <c r="AI193">
        <v>9.1199999999999996E-3</v>
      </c>
    </row>
    <row r="194" spans="1:35" x14ac:dyDescent="0.25">
      <c r="A194" s="1">
        <v>44530</v>
      </c>
      <c r="B194">
        <v>-1.06E-2</v>
      </c>
      <c r="C194">
        <v>-1.34E-2</v>
      </c>
      <c r="D194">
        <v>-8.3337062251199745E-3</v>
      </c>
      <c r="E194">
        <v>1.0489999999999999E-2</v>
      </c>
      <c r="F194">
        <v>3.9399999999999999E-3</v>
      </c>
      <c r="G194">
        <v>-2.15E-3</v>
      </c>
      <c r="H194">
        <v>-6.9300000000000004E-3</v>
      </c>
      <c r="I194">
        <v>-3.7599999999999999E-3</v>
      </c>
      <c r="J194" s="2">
        <v>-2.0000000000000002E-5</v>
      </c>
      <c r="K194">
        <v>0</v>
      </c>
      <c r="L194">
        <v>-4.6600000000000001E-3</v>
      </c>
      <c r="M194">
        <v>0</v>
      </c>
      <c r="N194">
        <v>-1.078E-2</v>
      </c>
      <c r="O194">
        <v>0</v>
      </c>
      <c r="P194">
        <v>0</v>
      </c>
      <c r="Q194">
        <v>-3.5200000000000001E-3</v>
      </c>
      <c r="R194">
        <v>0</v>
      </c>
      <c r="S194">
        <v>0</v>
      </c>
      <c r="T194">
        <v>-1.7000000000000001E-4</v>
      </c>
      <c r="U194">
        <v>0</v>
      </c>
      <c r="V194">
        <v>0</v>
      </c>
      <c r="W194">
        <v>0</v>
      </c>
      <c r="X194">
        <v>1.8020000000000001E-2</v>
      </c>
      <c r="Y194">
        <v>-5.9100000000000003E-3</v>
      </c>
      <c r="Z194">
        <v>0</v>
      </c>
      <c r="AA194">
        <v>0</v>
      </c>
      <c r="AB194">
        <v>0</v>
      </c>
      <c r="AC194">
        <v>2.6900000000000001E-3</v>
      </c>
      <c r="AD194">
        <v>0</v>
      </c>
      <c r="AE194">
        <v>8.1999999999999998E-4</v>
      </c>
      <c r="AF194">
        <v>0</v>
      </c>
      <c r="AG194">
        <v>-3.1199999999999999E-3</v>
      </c>
      <c r="AH194">
        <v>0</v>
      </c>
      <c r="AI194">
        <v>-5.5199999999999997E-3</v>
      </c>
    </row>
    <row r="195" spans="1:35" x14ac:dyDescent="0.25">
      <c r="A195" s="1">
        <v>44561</v>
      </c>
      <c r="B195">
        <v>1.6E-2</v>
      </c>
      <c r="C195">
        <v>5.3999999999999999E-2</v>
      </c>
      <c r="D195">
        <v>4.361291350996277E-2</v>
      </c>
      <c r="E195">
        <v>7.4200000000000004E-3</v>
      </c>
      <c r="F195">
        <v>-4.8700000000000002E-3</v>
      </c>
      <c r="G195">
        <v>8.4999999999999995E-4</v>
      </c>
      <c r="H195">
        <v>5.1999999999999995E-4</v>
      </c>
      <c r="I195">
        <v>1.5200000000000001E-3</v>
      </c>
      <c r="J195" s="2">
        <v>2.0000000000000002E-5</v>
      </c>
      <c r="K195">
        <v>0</v>
      </c>
      <c r="L195">
        <v>2.5500000000000002E-3</v>
      </c>
      <c r="M195">
        <v>0</v>
      </c>
      <c r="N195">
        <v>5.1999999999999998E-3</v>
      </c>
      <c r="O195">
        <v>0</v>
      </c>
      <c r="P195">
        <v>0</v>
      </c>
      <c r="Q195">
        <v>-1.6000000000000001E-4</v>
      </c>
      <c r="R195">
        <v>0</v>
      </c>
      <c r="S195">
        <v>0</v>
      </c>
      <c r="T195">
        <v>1.9000000000000001E-4</v>
      </c>
      <c r="U195">
        <v>0</v>
      </c>
      <c r="V195">
        <v>0</v>
      </c>
      <c r="W195">
        <v>0</v>
      </c>
      <c r="X195">
        <v>-6.4700000000000001E-3</v>
      </c>
      <c r="Y195">
        <v>-1.1199999999999999E-3</v>
      </c>
      <c r="Z195">
        <v>0</v>
      </c>
      <c r="AA195">
        <v>0</v>
      </c>
      <c r="AB195">
        <v>0</v>
      </c>
      <c r="AC195">
        <v>3.5300000000000002E-3</v>
      </c>
      <c r="AD195">
        <v>0</v>
      </c>
      <c r="AE195">
        <v>8.4000000000000003E-4</v>
      </c>
      <c r="AF195">
        <v>0</v>
      </c>
      <c r="AG195">
        <v>3.81E-3</v>
      </c>
      <c r="AH195">
        <v>0</v>
      </c>
      <c r="AI195">
        <v>2.14E-3</v>
      </c>
    </row>
    <row r="196" spans="1:35" x14ac:dyDescent="0.25">
      <c r="A196" s="10">
        <f>YEAR(A195)</f>
        <v>2021</v>
      </c>
      <c r="B196" s="5" cm="1">
        <f t="array" ref="B196">PRODUCT(1+B184:B195)-1</f>
        <v>0.42620222128669316</v>
      </c>
      <c r="C196" s="5" cm="1">
        <f t="array" ref="C196">PRODUCT(1+C184:C195)-1</f>
        <v>0.3128373178913384</v>
      </c>
      <c r="D196" s="5" cm="1">
        <f t="array" ref="D196">PRODUCT(1+D184:D195)-1</f>
        <v>0.26892738679336081</v>
      </c>
      <c r="E196" s="5" cm="1">
        <f t="array" ref="E196">PRODUCT(1+E184:E195)-1</f>
        <v>3.2687870608947289E-2</v>
      </c>
      <c r="F196" s="5" cm="1">
        <f t="array" ref="F196">PRODUCT(1+F184:F195)-1</f>
        <v>3.8820264108465619E-3</v>
      </c>
      <c r="G196" s="5" cm="1">
        <f t="array" ref="G196">PRODUCT(1+G184:G195)-1</f>
        <v>-1.2801084459588274E-3</v>
      </c>
      <c r="H196" s="5" cm="1">
        <f t="array" ref="H196">PRODUCT(1+H184:H195)-1</f>
        <v>4.4679221783068046E-2</v>
      </c>
      <c r="I196" s="5" cm="1">
        <f t="array" ref="I196">PRODUCT(1+I184:I195)-1</f>
        <v>2.6184440701553235E-2</v>
      </c>
      <c r="J196" s="5" cm="1">
        <f t="array" ref="J196">PRODUCT(1+J184:J195)-1</f>
        <v>4.999799989025E-5</v>
      </c>
      <c r="K196" s="5" cm="1">
        <f t="array" ref="K196">PRODUCT(1+K184:K195)-1</f>
        <v>0</v>
      </c>
      <c r="L196" s="5" cm="1">
        <f t="array" ref="L196">PRODUCT(1+L184:L195)-1</f>
        <v>5.7026046438575229E-2</v>
      </c>
      <c r="M196" s="5" cm="1">
        <f t="array" ref="M196">PRODUCT(1+M184:M195)-1</f>
        <v>0</v>
      </c>
      <c r="N196" s="5" cm="1">
        <f t="array" ref="N196">PRODUCT(1+N184:N195)-1</f>
        <v>-9.8437807240618902E-3</v>
      </c>
      <c r="O196" s="5" cm="1">
        <f t="array" ref="O196">PRODUCT(1+O184:O195)-1</f>
        <v>0</v>
      </c>
      <c r="P196" s="5" cm="1">
        <f t="array" ref="P196">PRODUCT(1+P184:P195)-1</f>
        <v>0</v>
      </c>
      <c r="Q196" s="5" cm="1">
        <f t="array" ref="Q196">PRODUCT(1+Q184:Q195)-1</f>
        <v>1.4283073358299481E-2</v>
      </c>
      <c r="R196" s="5" cm="1">
        <f t="array" ref="R196">PRODUCT(1+R184:R195)-1</f>
        <v>0</v>
      </c>
      <c r="S196" s="5" cm="1">
        <f t="array" ref="S196">PRODUCT(1+S184:S195)-1</f>
        <v>0</v>
      </c>
      <c r="T196" s="5" cm="1">
        <f t="array" ref="T196">PRODUCT(1+T184:T195)-1</f>
        <v>2.5979004183040999E-4</v>
      </c>
      <c r="U196" s="5" cm="1">
        <f t="array" ref="U196">PRODUCT(1+U184:U195)-1</f>
        <v>0</v>
      </c>
      <c r="V196" s="5" cm="1">
        <f t="array" ref="V196">PRODUCT(1+V184:V195)-1</f>
        <v>0</v>
      </c>
      <c r="W196" s="5" cm="1">
        <f t="array" ref="W196">PRODUCT(1+W184:W195)-1</f>
        <v>0</v>
      </c>
      <c r="X196" s="5" cm="1">
        <f t="array" ref="X196">PRODUCT(1+X184:X195)-1</f>
        <v>6.1125100576820968E-2</v>
      </c>
      <c r="Y196" s="5" cm="1">
        <f t="array" ref="Y196">PRODUCT(1+Y184:Y195)-1</f>
        <v>3.2593787472990687E-2</v>
      </c>
      <c r="Z196" s="5" cm="1">
        <f t="array" ref="Z196">PRODUCT(1+Z184:Z195)-1</f>
        <v>0</v>
      </c>
      <c r="AA196" s="5" cm="1">
        <f t="array" ref="AA196">PRODUCT(1+AA184:AA195)-1</f>
        <v>0</v>
      </c>
      <c r="AB196" s="5" cm="1">
        <f t="array" ref="AB196">PRODUCT(1+AB184:AB195)-1</f>
        <v>0</v>
      </c>
      <c r="AC196" s="5" cm="1">
        <f t="array" ref="AC196">PRODUCT(1+AC184:AC195)-1</f>
        <v>4.5643233003807016E-2</v>
      </c>
      <c r="AD196" s="5" cm="1">
        <f t="array" ref="AD196">PRODUCT(1+AD184:AD195)-1</f>
        <v>0</v>
      </c>
      <c r="AE196" s="5" cm="1">
        <f t="array" ref="AE196">PRODUCT(1+AE184:AE195)-1</f>
        <v>3.4165292331738151E-3</v>
      </c>
      <c r="AF196" s="5" cm="1">
        <f t="array" ref="AF196">PRODUCT(1+AF184:AF195)-1</f>
        <v>0</v>
      </c>
      <c r="AG196" s="5" cm="1">
        <f t="array" ref="AG196">PRODUCT(1+AG184:AG195)-1</f>
        <v>1.4827062397072321E-2</v>
      </c>
      <c r="AH196" s="5" cm="1">
        <f t="array" ref="AH196">PRODUCT(1+AH184:AH195)-1</f>
        <v>0</v>
      </c>
      <c r="AI196" s="5" cm="1">
        <f t="array" ref="AI196">PRODUCT(1+AI184:AI195)-1</f>
        <v>4.8298319340239315E-2</v>
      </c>
    </row>
    <row r="197" spans="1:35" x14ac:dyDescent="0.25">
      <c r="A197" s="1">
        <v>44592</v>
      </c>
      <c r="B197">
        <v>5.0000000000000001E-4</v>
      </c>
      <c r="C197">
        <v>-1.0800000000000001E-2</v>
      </c>
      <c r="D197">
        <v>-5.258516500531063E-2</v>
      </c>
      <c r="E197">
        <v>-1.57E-3</v>
      </c>
      <c r="F197">
        <v>-9.1400000000000006E-3</v>
      </c>
      <c r="G197">
        <v>-2.7999999999999998E-4</v>
      </c>
      <c r="H197">
        <v>3.7100000000000002E-3</v>
      </c>
      <c r="I197">
        <v>-1.0120000000000001E-2</v>
      </c>
      <c r="J197">
        <v>0</v>
      </c>
      <c r="K197">
        <v>0</v>
      </c>
      <c r="L197">
        <v>1.3350000000000001E-2</v>
      </c>
      <c r="M197">
        <v>0</v>
      </c>
      <c r="N197">
        <v>-7.2700000000000004E-3</v>
      </c>
      <c r="O197">
        <v>0</v>
      </c>
      <c r="P197">
        <v>0</v>
      </c>
      <c r="Q197">
        <v>-2.0500000000000002E-3</v>
      </c>
      <c r="R197">
        <v>0</v>
      </c>
      <c r="S197">
        <v>0</v>
      </c>
      <c r="T197">
        <v>-8.0000000000000004E-4</v>
      </c>
      <c r="U197">
        <v>0</v>
      </c>
      <c r="V197">
        <v>0</v>
      </c>
      <c r="W197">
        <v>0</v>
      </c>
      <c r="X197">
        <v>-1.124E-2</v>
      </c>
      <c r="Y197">
        <v>1.9189999999999999E-2</v>
      </c>
      <c r="Z197">
        <v>0</v>
      </c>
      <c r="AA197">
        <v>0</v>
      </c>
      <c r="AB197">
        <v>0</v>
      </c>
      <c r="AC197">
        <v>-5.3899999999999998E-3</v>
      </c>
      <c r="AD197">
        <v>0</v>
      </c>
      <c r="AE197">
        <v>0</v>
      </c>
      <c r="AF197">
        <v>0</v>
      </c>
      <c r="AG197">
        <v>-4.8399999999999997E-3</v>
      </c>
      <c r="AH197">
        <v>0</v>
      </c>
      <c r="AI197">
        <v>1.6990000000000002E-2</v>
      </c>
    </row>
    <row r="198" spans="1:35" x14ac:dyDescent="0.25">
      <c r="A198" s="1">
        <v>44620</v>
      </c>
      <c r="B198">
        <v>2.5000000000000001E-3</v>
      </c>
      <c r="C198">
        <v>-1.7399999999999999E-2</v>
      </c>
      <c r="D198">
        <v>-3.1360492102910142E-2</v>
      </c>
      <c r="E198">
        <v>-5.4000000000000003E-3</v>
      </c>
      <c r="F198">
        <v>2.3700000000000001E-3</v>
      </c>
      <c r="G198">
        <v>1.3500000000000001E-3</v>
      </c>
      <c r="H198">
        <v>-4.1999999999999997E-3</v>
      </c>
      <c r="I198">
        <v>-9.6100000000000005E-3</v>
      </c>
      <c r="J198">
        <v>0</v>
      </c>
      <c r="K198">
        <v>0</v>
      </c>
      <c r="L198">
        <v>4.4299999999999999E-3</v>
      </c>
      <c r="M198">
        <v>0</v>
      </c>
      <c r="N198">
        <v>3.63E-3</v>
      </c>
      <c r="O198">
        <v>0</v>
      </c>
      <c r="P198">
        <v>0</v>
      </c>
      <c r="Q198">
        <v>-1.6999999999999999E-3</v>
      </c>
      <c r="R198">
        <v>0</v>
      </c>
      <c r="S198">
        <v>0</v>
      </c>
      <c r="T198">
        <v>-1.1800000000000001E-3</v>
      </c>
      <c r="U198">
        <v>0</v>
      </c>
      <c r="V198">
        <v>0</v>
      </c>
      <c r="W198">
        <v>0</v>
      </c>
      <c r="X198">
        <v>-2.7999999999999998E-4</v>
      </c>
      <c r="Y198">
        <v>1.031E-2</v>
      </c>
      <c r="Z198">
        <v>0</v>
      </c>
      <c r="AA198">
        <v>0</v>
      </c>
      <c r="AB198">
        <v>0</v>
      </c>
      <c r="AC198">
        <v>-4.4900000000000001E-3</v>
      </c>
      <c r="AD198">
        <v>0</v>
      </c>
      <c r="AE198">
        <v>0</v>
      </c>
      <c r="AF198">
        <v>0</v>
      </c>
      <c r="AG198">
        <v>4.1099999999999999E-3</v>
      </c>
      <c r="AH198">
        <v>0</v>
      </c>
      <c r="AI198">
        <v>3.0999999999999999E-3</v>
      </c>
    </row>
    <row r="199" spans="1:35" x14ac:dyDescent="0.25">
      <c r="A199" s="1">
        <v>44651</v>
      </c>
      <c r="B199">
        <v>0.03</v>
      </c>
      <c r="C199">
        <v>3.3000000000000002E-2</v>
      </c>
      <c r="D199">
        <v>3.5773288410591908E-2</v>
      </c>
      <c r="E199">
        <v>5.7499999999999999E-3</v>
      </c>
      <c r="F199">
        <v>5.4599999999999996E-3</v>
      </c>
      <c r="G199">
        <v>-3.5699999999999998E-3</v>
      </c>
      <c r="H199">
        <v>-6.2700000000000004E-3</v>
      </c>
      <c r="I199">
        <v>3.3800000000000002E-3</v>
      </c>
      <c r="J199">
        <v>0</v>
      </c>
      <c r="K199">
        <v>0</v>
      </c>
      <c r="L199">
        <v>3.3600000000000001E-3</v>
      </c>
      <c r="M199">
        <v>0</v>
      </c>
      <c r="N199">
        <v>-7.1900000000000002E-3</v>
      </c>
      <c r="O199">
        <v>0</v>
      </c>
      <c r="P199">
        <v>0</v>
      </c>
      <c r="Q199">
        <v>-1.4300000000000001E-3</v>
      </c>
      <c r="R199">
        <v>0</v>
      </c>
      <c r="S199">
        <v>0</v>
      </c>
      <c r="T199" s="2">
        <v>2.0000000000000002E-5</v>
      </c>
      <c r="U199">
        <v>0</v>
      </c>
      <c r="V199">
        <v>0</v>
      </c>
      <c r="W199">
        <v>0</v>
      </c>
      <c r="X199">
        <v>7.9900000000000006E-3</v>
      </c>
      <c r="Y199">
        <v>1.9259999999999999E-2</v>
      </c>
      <c r="Z199">
        <v>0</v>
      </c>
      <c r="AA199">
        <v>0</v>
      </c>
      <c r="AB199">
        <v>0</v>
      </c>
      <c r="AC199">
        <v>-2.1700000000000001E-3</v>
      </c>
      <c r="AD199">
        <v>0</v>
      </c>
      <c r="AE199">
        <v>0</v>
      </c>
      <c r="AF199">
        <v>0</v>
      </c>
      <c r="AG199">
        <v>1.64E-3</v>
      </c>
      <c r="AH199">
        <v>0</v>
      </c>
      <c r="AI199">
        <v>3.7399999999999998E-3</v>
      </c>
    </row>
    <row r="200" spans="1:35" x14ac:dyDescent="0.25">
      <c r="A200" s="1">
        <v>44680</v>
      </c>
      <c r="B200">
        <v>-0.1411</v>
      </c>
      <c r="C200">
        <v>-7.4499999999999997E-2</v>
      </c>
      <c r="D200">
        <v>-8.7956711705729274E-2</v>
      </c>
      <c r="E200">
        <v>-9.7099999999999999E-3</v>
      </c>
      <c r="F200">
        <v>-2.112E-2</v>
      </c>
      <c r="G200">
        <v>-1.1780000000000001E-2</v>
      </c>
      <c r="H200">
        <v>-1.3440000000000001E-2</v>
      </c>
      <c r="I200">
        <v>-1.8249999999999999E-2</v>
      </c>
      <c r="J200">
        <v>0</v>
      </c>
      <c r="K200">
        <v>0</v>
      </c>
      <c r="L200">
        <v>-2.63E-3</v>
      </c>
      <c r="M200">
        <v>0</v>
      </c>
      <c r="N200">
        <v>-1.7590000000000001E-2</v>
      </c>
      <c r="O200">
        <v>0</v>
      </c>
      <c r="P200">
        <v>0</v>
      </c>
      <c r="Q200">
        <v>-4.3400000000000001E-3</v>
      </c>
      <c r="R200">
        <v>0</v>
      </c>
      <c r="S200">
        <v>0</v>
      </c>
      <c r="T200">
        <v>-3.8000000000000002E-4</v>
      </c>
      <c r="U200">
        <v>0</v>
      </c>
      <c r="V200">
        <v>0</v>
      </c>
      <c r="W200">
        <v>0</v>
      </c>
      <c r="X200">
        <v>-2.1489999999999999E-2</v>
      </c>
      <c r="Y200">
        <v>-1.8600000000000001E-3</v>
      </c>
      <c r="Z200">
        <v>0</v>
      </c>
      <c r="AA200">
        <v>0</v>
      </c>
      <c r="AB200">
        <v>0</v>
      </c>
      <c r="AC200">
        <v>-7.0600000000000003E-3</v>
      </c>
      <c r="AD200">
        <v>0</v>
      </c>
      <c r="AE200">
        <v>0</v>
      </c>
      <c r="AF200">
        <v>0</v>
      </c>
      <c r="AG200">
        <v>-1.375E-2</v>
      </c>
      <c r="AH200">
        <v>0</v>
      </c>
      <c r="AI200">
        <v>2.2699999999999999E-3</v>
      </c>
    </row>
    <row r="201" spans="1:35" x14ac:dyDescent="0.25">
      <c r="A201" s="1">
        <v>44712</v>
      </c>
      <c r="B201">
        <v>3.7400000000000003E-2</v>
      </c>
      <c r="C201">
        <v>2.8899999999999999E-2</v>
      </c>
      <c r="D201">
        <v>5.3177568506868056E-5</v>
      </c>
      <c r="E201">
        <v>-5.4400000000000004E-3</v>
      </c>
      <c r="F201">
        <v>-2.9099999999999998E-3</v>
      </c>
      <c r="G201">
        <v>-6.1999999999999998E-3</v>
      </c>
      <c r="H201">
        <v>4.2599999999999999E-3</v>
      </c>
      <c r="I201">
        <v>7.11E-3</v>
      </c>
      <c r="J201">
        <v>0</v>
      </c>
      <c r="K201">
        <v>0</v>
      </c>
      <c r="L201">
        <v>1.061E-2</v>
      </c>
      <c r="M201">
        <v>0</v>
      </c>
      <c r="N201">
        <v>-1.01E-3</v>
      </c>
      <c r="O201">
        <v>0</v>
      </c>
      <c r="P201">
        <v>0</v>
      </c>
      <c r="Q201">
        <v>4.0000000000000001E-3</v>
      </c>
      <c r="R201">
        <v>0</v>
      </c>
      <c r="S201">
        <v>0</v>
      </c>
      <c r="T201">
        <v>5.5999999999999995E-4</v>
      </c>
      <c r="U201">
        <v>0</v>
      </c>
      <c r="V201">
        <v>0</v>
      </c>
      <c r="W201">
        <v>0</v>
      </c>
      <c r="X201">
        <v>4.4999999999999999E-4</v>
      </c>
      <c r="Y201">
        <v>1.6549999999999999E-2</v>
      </c>
      <c r="Z201">
        <v>0</v>
      </c>
      <c r="AA201">
        <v>0</v>
      </c>
      <c r="AB201">
        <v>0</v>
      </c>
      <c r="AC201">
        <v>-1.9400000000000001E-3</v>
      </c>
      <c r="AD201">
        <v>0</v>
      </c>
      <c r="AE201">
        <v>0</v>
      </c>
      <c r="AF201">
        <v>0</v>
      </c>
      <c r="AG201">
        <v>1.8E-3</v>
      </c>
      <c r="AH201">
        <v>0</v>
      </c>
      <c r="AI201">
        <v>9.5999999999999992E-3</v>
      </c>
    </row>
    <row r="202" spans="1:35" x14ac:dyDescent="0.25">
      <c r="A202" s="1">
        <v>44742</v>
      </c>
      <c r="B202">
        <v>-0.113</v>
      </c>
      <c r="C202">
        <v>-8.2299999999999998E-2</v>
      </c>
      <c r="D202">
        <v>-8.3919999812243073E-2</v>
      </c>
      <c r="E202">
        <v>-8.1399999999999997E-3</v>
      </c>
      <c r="F202">
        <v>-1.035E-2</v>
      </c>
      <c r="G202">
        <v>2.14E-3</v>
      </c>
      <c r="H202">
        <v>-1.575E-2</v>
      </c>
      <c r="I202">
        <v>-8.2400000000000008E-3</v>
      </c>
      <c r="J202">
        <v>0</v>
      </c>
      <c r="K202">
        <v>0</v>
      </c>
      <c r="L202">
        <v>-1.14E-2</v>
      </c>
      <c r="M202">
        <v>0</v>
      </c>
      <c r="N202">
        <v>-1.372E-2</v>
      </c>
      <c r="O202">
        <v>0</v>
      </c>
      <c r="P202">
        <v>0</v>
      </c>
      <c r="Q202">
        <v>-5.4999999999999997E-3</v>
      </c>
      <c r="R202">
        <v>0</v>
      </c>
      <c r="S202">
        <v>0</v>
      </c>
      <c r="T202">
        <v>-1.64E-3</v>
      </c>
      <c r="U202">
        <v>0</v>
      </c>
      <c r="V202">
        <v>0</v>
      </c>
      <c r="W202">
        <v>0</v>
      </c>
      <c r="X202">
        <v>-1.261E-2</v>
      </c>
      <c r="Y202">
        <v>-9.5300000000000003E-3</v>
      </c>
      <c r="Z202">
        <v>0</v>
      </c>
      <c r="AA202">
        <v>0</v>
      </c>
      <c r="AB202">
        <v>0</v>
      </c>
      <c r="AC202">
        <v>-1.077E-2</v>
      </c>
      <c r="AD202">
        <v>0</v>
      </c>
      <c r="AE202">
        <v>0</v>
      </c>
      <c r="AF202">
        <v>0</v>
      </c>
      <c r="AG202">
        <v>1.3999999999999999E-4</v>
      </c>
      <c r="AH202">
        <v>0</v>
      </c>
      <c r="AI202">
        <v>-7.6E-3</v>
      </c>
    </row>
    <row r="203" spans="1:35" x14ac:dyDescent="0.25">
      <c r="A203" s="1">
        <v>44771</v>
      </c>
      <c r="B203">
        <v>0.1351</v>
      </c>
      <c r="C203">
        <v>8.48E-2</v>
      </c>
      <c r="D203">
        <v>9.1116391659653351E-2</v>
      </c>
      <c r="E203">
        <v>1.8859999999999998E-2</v>
      </c>
      <c r="F203">
        <v>2.4060000000000002E-2</v>
      </c>
      <c r="G203">
        <v>8.7399999999999995E-3</v>
      </c>
      <c r="H203">
        <v>8.6099999999999996E-3</v>
      </c>
      <c r="I203">
        <v>9.8700000000000003E-3</v>
      </c>
      <c r="J203">
        <v>0</v>
      </c>
      <c r="K203">
        <v>0</v>
      </c>
      <c r="L203">
        <v>4.9699999999999996E-3</v>
      </c>
      <c r="M203">
        <v>0</v>
      </c>
      <c r="N203">
        <v>1.171E-2</v>
      </c>
      <c r="O203">
        <v>0</v>
      </c>
      <c r="P203">
        <v>0</v>
      </c>
      <c r="Q203">
        <v>1.24E-3</v>
      </c>
      <c r="R203">
        <v>0</v>
      </c>
      <c r="S203">
        <v>0</v>
      </c>
      <c r="T203">
        <v>1.31E-3</v>
      </c>
      <c r="U203">
        <v>0</v>
      </c>
      <c r="V203">
        <v>0</v>
      </c>
      <c r="W203">
        <v>0</v>
      </c>
      <c r="X203">
        <v>1.3299999999999999E-2</v>
      </c>
      <c r="Y203">
        <v>7.4799999999999997E-3</v>
      </c>
      <c r="Z203">
        <v>0</v>
      </c>
      <c r="AA203">
        <v>0</v>
      </c>
      <c r="AB203">
        <v>0</v>
      </c>
      <c r="AC203">
        <v>9.9000000000000008E-3</v>
      </c>
      <c r="AD203">
        <v>0</v>
      </c>
      <c r="AE203">
        <v>0</v>
      </c>
      <c r="AF203">
        <v>0</v>
      </c>
      <c r="AG203">
        <v>5.7800000000000004E-3</v>
      </c>
      <c r="AH203">
        <v>0</v>
      </c>
      <c r="AI203">
        <v>9.2800000000000001E-3</v>
      </c>
    </row>
    <row r="204" spans="1:35" x14ac:dyDescent="0.25">
      <c r="A204" s="1">
        <v>44804</v>
      </c>
      <c r="B204">
        <v>-8.6E-3</v>
      </c>
      <c r="C204">
        <v>-2.6499999999999999E-2</v>
      </c>
      <c r="D204">
        <v>-4.2440128258508625E-2</v>
      </c>
      <c r="E204">
        <v>-3.1099999999999999E-3</v>
      </c>
      <c r="F204">
        <v>-5.3899999999999998E-3</v>
      </c>
      <c r="G204">
        <v>3.1E-4</v>
      </c>
      <c r="H204">
        <v>-5.9000000000000003E-4</v>
      </c>
      <c r="I204">
        <v>-4.2000000000000002E-4</v>
      </c>
      <c r="J204">
        <v>0</v>
      </c>
      <c r="K204">
        <v>0</v>
      </c>
      <c r="L204">
        <v>7.5100000000000002E-3</v>
      </c>
      <c r="M204">
        <v>0</v>
      </c>
      <c r="N204">
        <v>5.3299999999999997E-3</v>
      </c>
      <c r="O204">
        <v>0</v>
      </c>
      <c r="P204">
        <v>0</v>
      </c>
      <c r="Q204">
        <v>-5.1999999999999995E-4</v>
      </c>
      <c r="R204">
        <v>0</v>
      </c>
      <c r="S204">
        <v>0</v>
      </c>
      <c r="T204">
        <v>-1.49E-3</v>
      </c>
      <c r="U204">
        <v>0</v>
      </c>
      <c r="V204">
        <v>0</v>
      </c>
      <c r="W204">
        <v>0</v>
      </c>
      <c r="X204">
        <v>-1.1339999999999999E-2</v>
      </c>
      <c r="Y204">
        <v>5.1200000000000004E-3</v>
      </c>
      <c r="Z204">
        <v>0</v>
      </c>
      <c r="AA204">
        <v>0</v>
      </c>
      <c r="AB204">
        <v>0</v>
      </c>
      <c r="AC204">
        <v>-4.1999999999999997E-3</v>
      </c>
      <c r="AD204">
        <v>0</v>
      </c>
      <c r="AE204">
        <v>0</v>
      </c>
      <c r="AF204">
        <v>0</v>
      </c>
      <c r="AG204">
        <v>5.0000000000000001E-4</v>
      </c>
      <c r="AH204">
        <v>0</v>
      </c>
      <c r="AI204">
        <v>-3.3E-4</v>
      </c>
    </row>
    <row r="205" spans="1:35" x14ac:dyDescent="0.25">
      <c r="A205" s="1">
        <v>44834</v>
      </c>
      <c r="B205">
        <v>-0.13250000000000001</v>
      </c>
      <c r="C205">
        <v>-0.1113</v>
      </c>
      <c r="D205">
        <v>-9.3395672060682666E-2</v>
      </c>
      <c r="E205">
        <v>-1.21E-2</v>
      </c>
      <c r="F205">
        <v>-9.6600000000000002E-3</v>
      </c>
      <c r="G205">
        <v>-1.2930000000000001E-2</v>
      </c>
      <c r="H205">
        <v>-9.4900000000000002E-3</v>
      </c>
      <c r="I205">
        <v>-1.669E-2</v>
      </c>
      <c r="J205">
        <v>0</v>
      </c>
      <c r="K205">
        <v>0</v>
      </c>
      <c r="L205">
        <v>-3.0599999999999998E-3</v>
      </c>
      <c r="M205">
        <v>0</v>
      </c>
      <c r="N205">
        <v>-1.4970000000000001E-2</v>
      </c>
      <c r="O205">
        <v>0</v>
      </c>
      <c r="P205">
        <v>0</v>
      </c>
      <c r="Q205">
        <v>-3.0100000000000001E-3</v>
      </c>
      <c r="R205">
        <v>0</v>
      </c>
      <c r="S205">
        <v>0</v>
      </c>
      <c r="T205">
        <v>-1.3699999999999999E-3</v>
      </c>
      <c r="U205">
        <v>0</v>
      </c>
      <c r="V205">
        <v>0</v>
      </c>
      <c r="W205">
        <v>0</v>
      </c>
      <c r="X205">
        <v>-1.312E-2</v>
      </c>
      <c r="Y205">
        <v>-8.5000000000000006E-3</v>
      </c>
      <c r="Z205">
        <v>0</v>
      </c>
      <c r="AA205">
        <v>0</v>
      </c>
      <c r="AB205">
        <v>0</v>
      </c>
      <c r="AC205">
        <v>-7.0400000000000003E-3</v>
      </c>
      <c r="AD205">
        <v>0</v>
      </c>
      <c r="AE205">
        <v>0</v>
      </c>
      <c r="AF205">
        <v>0</v>
      </c>
      <c r="AG205">
        <v>-1.4489999999999999E-2</v>
      </c>
      <c r="AH205">
        <v>0</v>
      </c>
      <c r="AI205">
        <v>-6.1000000000000004E-3</v>
      </c>
    </row>
    <row r="206" spans="1:35" x14ac:dyDescent="0.25">
      <c r="A206" s="1">
        <v>44865</v>
      </c>
      <c r="B206">
        <v>0.14030000000000001</v>
      </c>
      <c r="C206">
        <v>0.1187</v>
      </c>
      <c r="D206">
        <v>7.9863413762746971E-2</v>
      </c>
      <c r="E206">
        <v>1.0959999999999999E-2</v>
      </c>
      <c r="F206">
        <v>-8.3099999999999997E-3</v>
      </c>
      <c r="G206">
        <v>9.3600000000000003E-3</v>
      </c>
      <c r="H206">
        <v>1.934E-2</v>
      </c>
      <c r="I206">
        <v>1.738E-2</v>
      </c>
      <c r="J206">
        <v>0</v>
      </c>
      <c r="K206">
        <v>0</v>
      </c>
      <c r="L206">
        <v>1.3599999999999999E-2</v>
      </c>
      <c r="M206">
        <v>0</v>
      </c>
      <c r="N206">
        <v>1.223E-2</v>
      </c>
      <c r="O206">
        <v>0</v>
      </c>
      <c r="P206">
        <v>0</v>
      </c>
      <c r="Q206">
        <v>7.9500000000000005E-3</v>
      </c>
      <c r="R206">
        <v>0</v>
      </c>
      <c r="S206">
        <v>0</v>
      </c>
      <c r="T206">
        <v>1.6999999999999999E-3</v>
      </c>
      <c r="U206">
        <v>0</v>
      </c>
      <c r="V206">
        <v>0</v>
      </c>
      <c r="W206">
        <v>0</v>
      </c>
      <c r="X206">
        <v>7.5100000000000002E-3</v>
      </c>
      <c r="Y206">
        <v>1.163E-2</v>
      </c>
      <c r="Z206">
        <v>0</v>
      </c>
      <c r="AA206">
        <v>0</v>
      </c>
      <c r="AB206">
        <v>0</v>
      </c>
      <c r="AC206">
        <v>1.468E-2</v>
      </c>
      <c r="AD206">
        <v>0</v>
      </c>
      <c r="AE206">
        <v>0</v>
      </c>
      <c r="AF206">
        <v>0</v>
      </c>
      <c r="AG206">
        <v>3.3E-3</v>
      </c>
      <c r="AH206">
        <v>0</v>
      </c>
      <c r="AI206">
        <v>1.8950000000000002E-2</v>
      </c>
    </row>
    <row r="207" spans="1:35" x14ac:dyDescent="0.25">
      <c r="A207" s="1">
        <v>44895</v>
      </c>
      <c r="B207">
        <v>4.9799999999999997E-2</v>
      </c>
      <c r="C207">
        <v>6.5600000000000006E-2</v>
      </c>
      <c r="D207">
        <v>5.3752893371106669E-2</v>
      </c>
      <c r="E207">
        <v>-3.31E-3</v>
      </c>
      <c r="F207">
        <v>-5.1200000000000004E-3</v>
      </c>
      <c r="G207">
        <v>1.35E-2</v>
      </c>
      <c r="H207">
        <v>5.0200000000000002E-3</v>
      </c>
      <c r="I207">
        <v>1.085E-2</v>
      </c>
      <c r="J207">
        <v>0</v>
      </c>
      <c r="K207">
        <v>0</v>
      </c>
      <c r="L207">
        <v>-9.6000000000000002E-4</v>
      </c>
      <c r="M207">
        <v>0</v>
      </c>
      <c r="N207">
        <v>-7.6899999999999998E-3</v>
      </c>
      <c r="O207">
        <v>0</v>
      </c>
      <c r="P207">
        <v>0</v>
      </c>
      <c r="Q207">
        <v>3.63E-3</v>
      </c>
      <c r="R207">
        <v>0</v>
      </c>
      <c r="S207">
        <v>0</v>
      </c>
      <c r="T207">
        <v>1.6000000000000001E-4</v>
      </c>
      <c r="U207">
        <v>0</v>
      </c>
      <c r="V207">
        <v>0</v>
      </c>
      <c r="W207">
        <v>0</v>
      </c>
      <c r="X207">
        <v>1.7049999999999999E-2</v>
      </c>
      <c r="Y207">
        <v>-2.7499999999999998E-3</v>
      </c>
      <c r="Z207">
        <v>0</v>
      </c>
      <c r="AA207">
        <v>0</v>
      </c>
      <c r="AB207">
        <v>0</v>
      </c>
      <c r="AC207">
        <v>6.5700000000000003E-3</v>
      </c>
      <c r="AD207">
        <v>0</v>
      </c>
      <c r="AE207">
        <v>0</v>
      </c>
      <c r="AF207">
        <v>0</v>
      </c>
      <c r="AG207">
        <v>1.197E-2</v>
      </c>
      <c r="AH207">
        <v>0</v>
      </c>
      <c r="AI207">
        <v>9.1E-4</v>
      </c>
    </row>
    <row r="208" spans="1:35" x14ac:dyDescent="0.25">
      <c r="A208" s="1">
        <v>44925</v>
      </c>
      <c r="B208">
        <v>0</v>
      </c>
      <c r="C208">
        <v>0</v>
      </c>
      <c r="D208">
        <v>-5.8971473977430078E-2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</row>
    <row r="209" spans="1:35" x14ac:dyDescent="0.25">
      <c r="A209" s="10">
        <f>YEAR(A208)</f>
        <v>2022</v>
      </c>
      <c r="B209" s="5" cm="1">
        <f t="array" ref="B209">PRODUCT(1+B197:B208)-1</f>
        <v>-4.5822042553406828E-2</v>
      </c>
      <c r="C209" s="5" cm="1">
        <f t="array" ref="C209">PRODUCT(1+C197:C208)-1</f>
        <v>-1.8342083022249045E-2</v>
      </c>
      <c r="D209" s="5" cm="1">
        <f t="array" ref="D209">PRODUCT(1+D197:D208)-1</f>
        <v>-0.19442827207126545</v>
      </c>
      <c r="E209" s="5" cm="1">
        <f t="array" ref="E209">PRODUCT(1+E197:E208)-1</f>
        <v>-1.3564514429709407E-2</v>
      </c>
      <c r="F209" s="5" cm="1">
        <f t="array" ref="F209">PRODUCT(1+F197:F208)-1</f>
        <v>-4.0025318976660507E-2</v>
      </c>
      <c r="G209" s="5" cm="1">
        <f t="array" ref="G209">PRODUCT(1+G197:G208)-1</f>
        <v>2.8499572219198299E-4</v>
      </c>
      <c r="H209" s="5" cm="1">
        <f t="array" ref="H209">PRODUCT(1+H197:H208)-1</f>
        <v>-9.2970381105094146E-3</v>
      </c>
      <c r="I209" s="5" cm="1">
        <f t="array" ref="I209">PRODUCT(1+I197:I208)-1</f>
        <v>-1.5349651693416844E-2</v>
      </c>
      <c r="J209" s="5" cm="1">
        <f t="array" ref="J209">PRODUCT(1+J197:J208)-1</f>
        <v>0</v>
      </c>
      <c r="K209" s="5" cm="1">
        <f t="array" ref="K209">PRODUCT(1+K197:K208)-1</f>
        <v>0</v>
      </c>
      <c r="L209" s="5" cm="1">
        <f t="array" ref="L209">PRODUCT(1+L197:L208)-1</f>
        <v>4.0201300666551143E-2</v>
      </c>
      <c r="M209" s="5" cm="1">
        <f t="array" ref="M209">PRODUCT(1+M197:M208)-1</f>
        <v>0</v>
      </c>
      <c r="N209" s="5" cm="1">
        <f t="array" ref="N209">PRODUCT(1+N197:N208)-1</f>
        <v>-3.6468802328386563E-2</v>
      </c>
      <c r="O209" s="5" cm="1">
        <f t="array" ref="O209">PRODUCT(1+O197:O208)-1</f>
        <v>0</v>
      </c>
      <c r="P209" s="5" cm="1">
        <f t="array" ref="P209">PRODUCT(1+P197:P208)-1</f>
        <v>0</v>
      </c>
      <c r="Q209" s="5" cm="1">
        <f t="array" ref="Q209">PRODUCT(1+Q197:Q208)-1</f>
        <v>-1.8089904266896939E-3</v>
      </c>
      <c r="R209" s="5" cm="1">
        <f t="array" ref="R209">PRODUCT(1+R197:R208)-1</f>
        <v>0</v>
      </c>
      <c r="S209" s="5" cm="1">
        <f t="array" ref="S209">PRODUCT(1+S197:S208)-1</f>
        <v>0</v>
      </c>
      <c r="T209" s="5" cm="1">
        <f t="array" ref="T209">PRODUCT(1+T197:T208)-1</f>
        <v>-3.1121036120854706E-3</v>
      </c>
      <c r="U209" s="5" cm="1">
        <f t="array" ref="U209">PRODUCT(1+U197:U208)-1</f>
        <v>0</v>
      </c>
      <c r="V209" s="5" cm="1">
        <f t="array" ref="V209">PRODUCT(1+V197:V208)-1</f>
        <v>0</v>
      </c>
      <c r="W209" s="5" cm="1">
        <f t="array" ref="W209">PRODUCT(1+W197:W208)-1</f>
        <v>0</v>
      </c>
      <c r="X209" s="5" cm="1">
        <f t="array" ref="X209">PRODUCT(1+X197:X208)-1</f>
        <v>-2.4300914933185425E-2</v>
      </c>
      <c r="Y209" s="5" cm="1">
        <f t="array" ref="Y209">PRODUCT(1+Y197:Y208)-1</f>
        <v>6.8388313367934606E-2</v>
      </c>
      <c r="Z209" s="5" cm="1">
        <f t="array" ref="Z209">PRODUCT(1+Z197:Z208)-1</f>
        <v>0</v>
      </c>
      <c r="AA209" s="5" cm="1">
        <f t="array" ref="AA209">PRODUCT(1+AA197:AA208)-1</f>
        <v>0</v>
      </c>
      <c r="AB209" s="5" cm="1">
        <f t="array" ref="AB209">PRODUCT(1+AB197:AB208)-1</f>
        <v>0</v>
      </c>
      <c r="AC209" s="5" cm="1">
        <f t="array" ref="AC209">PRODUCT(1+AC197:AC208)-1</f>
        <v>-1.2158490750806106E-2</v>
      </c>
      <c r="AD209" s="5" cm="1">
        <f t="array" ref="AD209">PRODUCT(1+AD197:AD208)-1</f>
        <v>0</v>
      </c>
      <c r="AE209" s="5" cm="1">
        <f t="array" ref="AE209">PRODUCT(1+AE197:AE208)-1</f>
        <v>0</v>
      </c>
      <c r="AF209" s="5" cm="1">
        <f t="array" ref="AF209">PRODUCT(1+AF197:AF208)-1</f>
        <v>0</v>
      </c>
      <c r="AG209" s="5" cm="1">
        <f t="array" ref="AG209">PRODUCT(1+AG197:AG208)-1</f>
        <v>-4.1491971876956857E-3</v>
      </c>
      <c r="AH209" s="5" cm="1">
        <f t="array" ref="AH209">PRODUCT(1+AH197:AH208)-1</f>
        <v>0</v>
      </c>
      <c r="AI209" s="5" cm="1">
        <f t="array" ref="AI209">PRODUCT(1+AI197:AI208)-1</f>
        <v>5.1627397995149371E-2</v>
      </c>
    </row>
    <row r="210" spans="1:35" x14ac:dyDescent="0.25">
      <c r="A210" s="3" t="s">
        <v>35</v>
      </c>
      <c r="B210" s="6"/>
      <c r="C210" s="6"/>
      <c r="D210" s="6"/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I19"/>
  <sheetViews>
    <sheetView tabSelected="1" workbookViewId="0">
      <selection activeCell="A9" sqref="A9"/>
    </sheetView>
  </sheetViews>
  <sheetFormatPr defaultRowHeight="15" x14ac:dyDescent="0.25"/>
  <cols>
    <col min="2" max="2" width="13.28515625" bestFit="1" customWidth="1"/>
    <col min="3" max="3" width="19.85546875" bestFit="1" customWidth="1"/>
    <col min="4" max="4" width="12.7109375" bestFit="1" customWidth="1"/>
  </cols>
  <sheetData>
    <row r="1" spans="1:35" s="3" customFormat="1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3" t="s">
        <v>22</v>
      </c>
      <c r="X1" s="3" t="s">
        <v>23</v>
      </c>
      <c r="Y1" s="3" t="s">
        <v>24</v>
      </c>
      <c r="Z1" s="3" t="s">
        <v>25</v>
      </c>
      <c r="AA1" s="3" t="s">
        <v>26</v>
      </c>
      <c r="AB1" s="3" t="s">
        <v>27</v>
      </c>
      <c r="AC1" s="3" t="s">
        <v>28</v>
      </c>
      <c r="AD1" s="3" t="s">
        <v>29</v>
      </c>
      <c r="AE1" s="3" t="s">
        <v>30</v>
      </c>
      <c r="AF1" s="3" t="s">
        <v>31</v>
      </c>
      <c r="AG1" s="3" t="s">
        <v>32</v>
      </c>
      <c r="AH1" s="3" t="s">
        <v>33</v>
      </c>
      <c r="AI1" s="3" t="s">
        <v>34</v>
      </c>
    </row>
    <row r="2" spans="1:35" x14ac:dyDescent="0.25">
      <c r="A2" s="10">
        <v>2007</v>
      </c>
      <c r="B2" s="5">
        <v>0.31487849780394628</v>
      </c>
      <c r="C2" s="5">
        <v>0.19823895433605188</v>
      </c>
      <c r="D2" s="5">
        <v>3.5295766057957145E-2</v>
      </c>
      <c r="E2" s="5">
        <v>9.4885861081628109E-2</v>
      </c>
      <c r="F2" s="5">
        <v>0.10269431913130966</v>
      </c>
      <c r="G2" s="5">
        <v>0</v>
      </c>
      <c r="H2" s="5">
        <v>0</v>
      </c>
      <c r="I2" s="5">
        <v>0</v>
      </c>
      <c r="J2" s="5">
        <v>1.9912146543569431E-2</v>
      </c>
      <c r="K2" s="5">
        <v>0</v>
      </c>
      <c r="L2" s="5">
        <v>0</v>
      </c>
      <c r="M2" s="5">
        <v>0</v>
      </c>
      <c r="N2" s="5">
        <v>-3.1873842007473785E-3</v>
      </c>
      <c r="O2" s="5">
        <v>0</v>
      </c>
      <c r="P2" s="5">
        <v>0</v>
      </c>
      <c r="Q2" s="5">
        <v>-5.8445169681039522E-3</v>
      </c>
      <c r="R2" s="5">
        <v>0</v>
      </c>
      <c r="S2" s="5">
        <v>3.2924613263360936E-2</v>
      </c>
      <c r="T2" s="5">
        <v>0</v>
      </c>
      <c r="U2" s="5">
        <v>0</v>
      </c>
      <c r="V2" s="5">
        <v>0</v>
      </c>
      <c r="W2" s="5">
        <v>0</v>
      </c>
      <c r="X2" s="5">
        <v>3.9154224994162101E-2</v>
      </c>
      <c r="Y2" s="5">
        <v>0</v>
      </c>
      <c r="Z2" s="5">
        <v>0</v>
      </c>
      <c r="AA2" s="5">
        <v>0</v>
      </c>
      <c r="AB2" s="5">
        <v>0</v>
      </c>
      <c r="AC2" s="5">
        <v>0</v>
      </c>
      <c r="AD2" s="5">
        <v>2.0438440438255601E-2</v>
      </c>
      <c r="AE2" s="5">
        <v>-3.7603057451200961E-3</v>
      </c>
      <c r="AF2" s="5">
        <v>0</v>
      </c>
      <c r="AG2" s="5">
        <v>0</v>
      </c>
      <c r="AH2" s="5">
        <v>-6.7487295214111453E-3</v>
      </c>
      <c r="AI2" s="5">
        <v>0</v>
      </c>
    </row>
    <row r="3" spans="1:35" x14ac:dyDescent="0.25">
      <c r="A3" s="10">
        <v>2008</v>
      </c>
      <c r="B3" s="5">
        <v>-0.34036941570892365</v>
      </c>
      <c r="C3" s="5">
        <v>-0.29538710584052785</v>
      </c>
      <c r="D3" s="5">
        <v>-0.38485793046178673</v>
      </c>
      <c r="E3" s="5">
        <v>-6.4117084002053293E-2</v>
      </c>
      <c r="F3" s="5">
        <v>-4.5501292674012705E-2</v>
      </c>
      <c r="G3" s="5">
        <v>-6.0356193143049963E-2</v>
      </c>
      <c r="H3" s="5">
        <v>0</v>
      </c>
      <c r="I3" s="5">
        <v>0</v>
      </c>
      <c r="J3" s="5">
        <v>-3.4741221918489829E-2</v>
      </c>
      <c r="K3" s="5">
        <v>0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-1.7286541087026097E-2</v>
      </c>
      <c r="R3" s="5">
        <v>0</v>
      </c>
      <c r="S3" s="5">
        <v>9.6268953360665321E-3</v>
      </c>
      <c r="T3" s="5">
        <v>0</v>
      </c>
      <c r="U3" s="5">
        <v>0</v>
      </c>
      <c r="V3" s="5">
        <v>0</v>
      </c>
      <c r="W3" s="5">
        <v>0</v>
      </c>
      <c r="X3" s="5">
        <v>-0.11240489189301361</v>
      </c>
      <c r="Y3" s="5">
        <v>0</v>
      </c>
      <c r="Z3" s="5">
        <v>0</v>
      </c>
      <c r="AA3" s="5">
        <v>0</v>
      </c>
      <c r="AB3" s="5">
        <v>0</v>
      </c>
      <c r="AC3" s="5">
        <v>0</v>
      </c>
      <c r="AD3" s="5">
        <v>-2.8774676015846823E-2</v>
      </c>
      <c r="AE3" s="5">
        <v>-1.4147829743675788E-2</v>
      </c>
      <c r="AF3" s="5">
        <v>0</v>
      </c>
      <c r="AG3" s="5">
        <v>0</v>
      </c>
      <c r="AH3" s="5">
        <v>1.1292004025993396E-3</v>
      </c>
      <c r="AI3" s="5">
        <v>0</v>
      </c>
    </row>
    <row r="4" spans="1:35" x14ac:dyDescent="0.25">
      <c r="A4" s="10">
        <v>2009</v>
      </c>
      <c r="B4" s="5">
        <v>0.12968873727652164</v>
      </c>
      <c r="C4" s="5">
        <v>0.35316494670228904</v>
      </c>
      <c r="D4" s="5">
        <v>0.2345419053418214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2.2523055313932394E-2</v>
      </c>
      <c r="L4" s="5">
        <v>0</v>
      </c>
      <c r="M4" s="5">
        <v>1.5481391034860792E-2</v>
      </c>
      <c r="N4" s="5">
        <v>0</v>
      </c>
      <c r="O4" s="5">
        <v>0</v>
      </c>
      <c r="P4" s="5">
        <v>1.2514539258891899E-2</v>
      </c>
      <c r="Q4" s="5">
        <v>0</v>
      </c>
      <c r="R4" s="5">
        <v>2.8964304277640185E-2</v>
      </c>
      <c r="S4" s="5">
        <v>0</v>
      </c>
      <c r="T4" s="5">
        <v>4.4955308667830041E-2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1.2713550993025624E-2</v>
      </c>
      <c r="AA4" s="5">
        <v>3.7070148429529937E-3</v>
      </c>
      <c r="AB4" s="5">
        <v>-3.5466932638233972E-3</v>
      </c>
      <c r="AC4" s="5">
        <v>0</v>
      </c>
      <c r="AD4" s="5">
        <v>0</v>
      </c>
      <c r="AE4" s="5">
        <v>0</v>
      </c>
      <c r="AF4" s="5">
        <v>0</v>
      </c>
      <c r="AG4" s="5">
        <v>1.2944474428722375E-2</v>
      </c>
      <c r="AH4" s="5">
        <v>0</v>
      </c>
      <c r="AI4" s="5">
        <v>-1.1945434157541457E-2</v>
      </c>
    </row>
    <row r="5" spans="1:35" x14ac:dyDescent="0.25">
      <c r="A5" s="10">
        <v>2010</v>
      </c>
      <c r="B5" s="5">
        <v>0.20250972724784533</v>
      </c>
      <c r="C5" s="5">
        <v>0.1610628950434172</v>
      </c>
      <c r="D5" s="5">
        <v>0.12782713843408811</v>
      </c>
      <c r="E5" s="5">
        <v>2.8573967841221348E-2</v>
      </c>
      <c r="F5" s="5">
        <v>1.3101783375452314E-2</v>
      </c>
      <c r="G5" s="5">
        <v>1.937217761701393E-2</v>
      </c>
      <c r="H5" s="5">
        <v>-2.9858659792183495E-3</v>
      </c>
      <c r="I5" s="5">
        <v>-6.8000251911602971E-3</v>
      </c>
      <c r="J5" s="5">
        <v>5.0276525969625174E-2</v>
      </c>
      <c r="K5" s="5">
        <v>0</v>
      </c>
      <c r="L5" s="5">
        <v>2.314814609394733E-2</v>
      </c>
      <c r="M5" s="5">
        <v>0</v>
      </c>
      <c r="N5" s="5">
        <v>1.3756600378627803E-2</v>
      </c>
      <c r="O5" s="5">
        <v>2.0352206855331012E-2</v>
      </c>
      <c r="P5" s="5">
        <v>0</v>
      </c>
      <c r="Q5" s="5">
        <v>1.0970950707971383E-3</v>
      </c>
      <c r="R5" s="5">
        <v>0</v>
      </c>
      <c r="S5" s="5">
        <v>1.7911341035155015E-3</v>
      </c>
      <c r="T5" s="5">
        <v>1.9998499970030892E-5</v>
      </c>
      <c r="U5" s="5">
        <v>-9.4006054258344296E-4</v>
      </c>
      <c r="V5" s="5">
        <v>0</v>
      </c>
      <c r="W5" s="5">
        <v>9.3400688909384133E-3</v>
      </c>
      <c r="X5" s="5">
        <v>-3.1724445252185873E-3</v>
      </c>
      <c r="Y5" s="5">
        <v>1.4006880801185506E-2</v>
      </c>
      <c r="Z5" s="5">
        <v>1.9864081149556512E-4</v>
      </c>
      <c r="AA5" s="5">
        <v>0</v>
      </c>
      <c r="AB5" s="5">
        <v>0</v>
      </c>
      <c r="AC5" s="5">
        <v>2.0507870122922212E-2</v>
      </c>
      <c r="AD5" s="5">
        <v>3.3345196630252261E-3</v>
      </c>
      <c r="AE5" s="5">
        <v>3.4605825226028397E-3</v>
      </c>
      <c r="AF5" s="5">
        <v>6.0216197542390937E-3</v>
      </c>
      <c r="AG5" s="5">
        <v>1.9000369874300205E-4</v>
      </c>
      <c r="AH5" s="5">
        <v>-3.1393316878953748E-3</v>
      </c>
      <c r="AI5" s="5">
        <v>0</v>
      </c>
    </row>
    <row r="6" spans="1:35" x14ac:dyDescent="0.25">
      <c r="A6" s="10">
        <v>2011</v>
      </c>
      <c r="B6" s="5">
        <v>4.0691364491577842E-2</v>
      </c>
      <c r="C6" s="5">
        <v>7.7848105808553836E-2</v>
      </c>
      <c r="D6" s="5">
        <v>-3.1836614231783855E-5</v>
      </c>
      <c r="E6" s="5">
        <v>1.3647397177590781E-2</v>
      </c>
      <c r="F6" s="5">
        <v>-5.1975799471992712E-4</v>
      </c>
      <c r="G6" s="5">
        <v>1.1037605986936372E-2</v>
      </c>
      <c r="H6" s="5">
        <v>-2.5212341892336676E-2</v>
      </c>
      <c r="I6" s="5">
        <v>-8.8604299506755968E-4</v>
      </c>
      <c r="J6" s="5">
        <v>3.7951345458684393E-3</v>
      </c>
      <c r="K6" s="5">
        <v>0</v>
      </c>
      <c r="L6" s="5">
        <v>9.3368987375606061E-3</v>
      </c>
      <c r="M6" s="5">
        <v>1.3608024685283215E-3</v>
      </c>
      <c r="N6" s="5">
        <v>3.9014820130953698E-3</v>
      </c>
      <c r="O6" s="5">
        <v>2.7455234750510815E-3</v>
      </c>
      <c r="P6" s="5">
        <v>1.9283482702774357E-3</v>
      </c>
      <c r="Q6" s="5">
        <v>-5.3125093632152565E-3</v>
      </c>
      <c r="R6" s="5">
        <v>1.6799337829076499E-3</v>
      </c>
      <c r="S6" s="5">
        <v>0</v>
      </c>
      <c r="T6" s="5">
        <v>-1.0426930322338102E-4</v>
      </c>
      <c r="U6" s="5">
        <v>-2.1414792582516995E-3</v>
      </c>
      <c r="V6" s="5">
        <v>4.4987061252577121E-4</v>
      </c>
      <c r="W6" s="5">
        <v>3.3920531475641891E-3</v>
      </c>
      <c r="X6" s="5">
        <v>2.8710495883728093E-3</v>
      </c>
      <c r="Y6" s="5">
        <v>2.0316342819506339E-3</v>
      </c>
      <c r="Z6" s="5">
        <v>1.9108434393311224E-3</v>
      </c>
      <c r="AA6" s="5">
        <v>0</v>
      </c>
      <c r="AB6" s="5">
        <v>0</v>
      </c>
      <c r="AC6" s="5">
        <v>1.543534562720672E-2</v>
      </c>
      <c r="AD6" s="5">
        <v>2.2475689702674551E-3</v>
      </c>
      <c r="AE6" s="5">
        <v>3.1617728386124089E-3</v>
      </c>
      <c r="AF6" s="5">
        <v>9.299603059459205E-3</v>
      </c>
      <c r="AG6" s="5">
        <v>2.4972577706328103E-4</v>
      </c>
      <c r="AH6" s="5">
        <v>-1.116565525994484E-3</v>
      </c>
      <c r="AI6" s="5">
        <v>5.00004999892667E-5</v>
      </c>
    </row>
    <row r="7" spans="1:35" x14ac:dyDescent="0.25">
      <c r="A7" s="10">
        <v>2012</v>
      </c>
      <c r="B7" s="5">
        <v>7.083930465187005E-2</v>
      </c>
      <c r="C7" s="5">
        <v>0.16743521480358581</v>
      </c>
      <c r="D7" s="5">
        <v>0.13405690856978847</v>
      </c>
      <c r="E7" s="5">
        <v>0</v>
      </c>
      <c r="F7" s="5">
        <v>0</v>
      </c>
      <c r="G7" s="5">
        <v>0</v>
      </c>
      <c r="H7" s="5">
        <v>0</v>
      </c>
      <c r="I7" s="5">
        <v>0</v>
      </c>
      <c r="J7" s="5">
        <v>0</v>
      </c>
      <c r="K7" s="5">
        <v>1.5400351303829662E-2</v>
      </c>
      <c r="L7" s="5">
        <v>0</v>
      </c>
      <c r="M7" s="5">
        <v>1.956756232807999E-3</v>
      </c>
      <c r="N7" s="5">
        <v>0</v>
      </c>
      <c r="O7" s="5">
        <v>0</v>
      </c>
      <c r="P7" s="5">
        <v>1.0796239436872579E-2</v>
      </c>
      <c r="Q7" s="5">
        <v>0</v>
      </c>
      <c r="R7" s="5">
        <v>7.2098437945660176E-3</v>
      </c>
      <c r="S7" s="5">
        <v>-9.2092330022539581E-3</v>
      </c>
      <c r="T7" s="5">
        <v>0</v>
      </c>
      <c r="U7" s="5">
        <v>0</v>
      </c>
      <c r="V7" s="5">
        <v>0</v>
      </c>
      <c r="W7" s="5">
        <v>0</v>
      </c>
      <c r="X7" s="5">
        <v>0</v>
      </c>
      <c r="Y7" s="5">
        <v>0</v>
      </c>
      <c r="Z7" s="5">
        <v>1.9358378683608679E-2</v>
      </c>
      <c r="AA7" s="5">
        <v>5.9485339813287741E-3</v>
      </c>
      <c r="AB7" s="5">
        <v>-3.03522249457433E-3</v>
      </c>
      <c r="AC7" s="5">
        <v>0</v>
      </c>
      <c r="AD7" s="5">
        <v>1.7261283607869826E-2</v>
      </c>
      <c r="AE7" s="5">
        <v>0</v>
      </c>
      <c r="AF7" s="5">
        <v>0</v>
      </c>
      <c r="AG7" s="5">
        <v>0</v>
      </c>
      <c r="AH7" s="5">
        <v>0</v>
      </c>
      <c r="AI7" s="5">
        <v>5.5656242123072186E-3</v>
      </c>
    </row>
    <row r="8" spans="1:35" x14ac:dyDescent="0.25">
      <c r="A8" s="10">
        <v>2013</v>
      </c>
      <c r="B8" s="5">
        <v>0.36753900948845386</v>
      </c>
      <c r="C8" s="5">
        <v>0.32138641144847546</v>
      </c>
      <c r="D8" s="5">
        <v>0.29601249585590739</v>
      </c>
      <c r="E8" s="5">
        <v>6.0883674878515759E-3</v>
      </c>
      <c r="F8" s="5">
        <v>1.6001354332259021E-2</v>
      </c>
      <c r="G8" s="5">
        <v>3.92717974338197E-2</v>
      </c>
      <c r="H8" s="5">
        <v>7.8529765118768857E-3</v>
      </c>
      <c r="I8" s="5">
        <v>2.7006021926453627E-2</v>
      </c>
      <c r="J8" s="5">
        <v>2.6311250328097113E-3</v>
      </c>
      <c r="K8" s="5">
        <v>0</v>
      </c>
      <c r="L8" s="5">
        <v>1.8076117128886793E-2</v>
      </c>
      <c r="M8" s="5">
        <v>2.2816858934968653E-3</v>
      </c>
      <c r="N8" s="5">
        <v>3.1583128554878437E-2</v>
      </c>
      <c r="O8" s="5">
        <v>1.6864032560924613E-2</v>
      </c>
      <c r="P8" s="5">
        <v>3.6244876224966749E-3</v>
      </c>
      <c r="Q8" s="5">
        <v>1.0953303628002065E-2</v>
      </c>
      <c r="R8" s="5">
        <v>2.3001019842983084E-4</v>
      </c>
      <c r="S8" s="5">
        <v>0</v>
      </c>
      <c r="T8" s="5">
        <v>1.6037531740429323E-2</v>
      </c>
      <c r="U8" s="5">
        <v>2.2292253354234903E-2</v>
      </c>
      <c r="V8" s="5">
        <v>6.1647696335833668E-3</v>
      </c>
      <c r="W8" s="5">
        <v>3.410675831900134E-2</v>
      </c>
      <c r="X8" s="5">
        <v>6.7581308954991481E-3</v>
      </c>
      <c r="Y8" s="5">
        <v>1.8610705570788255E-2</v>
      </c>
      <c r="Z8" s="5">
        <v>4.0744241384562674E-3</v>
      </c>
      <c r="AA8" s="5">
        <v>0</v>
      </c>
      <c r="AB8" s="5">
        <v>0</v>
      </c>
      <c r="AC8" s="5">
        <v>2.4706869757840089E-4</v>
      </c>
      <c r="AD8" s="5">
        <v>1.7687243841089106E-3</v>
      </c>
      <c r="AE8" s="5">
        <v>2.770813647952064E-3</v>
      </c>
      <c r="AF8" s="5">
        <v>8.4755443578259371E-3</v>
      </c>
      <c r="AG8" s="5">
        <v>1.0869896432234016E-2</v>
      </c>
      <c r="AH8" s="5">
        <v>3.9823230272513221E-3</v>
      </c>
      <c r="AI8" s="5">
        <v>4.3546338299802478E-3</v>
      </c>
    </row>
    <row r="9" spans="1:35" x14ac:dyDescent="0.25">
      <c r="A9" s="10">
        <v>2014</v>
      </c>
      <c r="B9" s="5">
        <v>0.12089091484042536</v>
      </c>
      <c r="C9" s="5">
        <v>0.13423496016670811</v>
      </c>
      <c r="D9" s="5">
        <v>0.11390633789337312</v>
      </c>
      <c r="E9" s="5">
        <v>2.3315072722702723E-3</v>
      </c>
      <c r="F9" s="5">
        <v>-2.1204690848715124E-3</v>
      </c>
      <c r="G9" s="5">
        <v>-6.5355935989719338E-4</v>
      </c>
      <c r="H9" s="5">
        <v>6.9445456193957256E-3</v>
      </c>
      <c r="I9" s="5">
        <v>1.3602199270288606E-2</v>
      </c>
      <c r="J9" s="5">
        <v>4.1522392222872462E-3</v>
      </c>
      <c r="K9" s="5">
        <v>0</v>
      </c>
      <c r="L9" s="5">
        <v>2.2727005912173137E-3</v>
      </c>
      <c r="M9" s="5">
        <v>0</v>
      </c>
      <c r="N9" s="5">
        <v>2.2279451096347991E-2</v>
      </c>
      <c r="O9" s="5">
        <v>-5.1330061117319525E-3</v>
      </c>
      <c r="P9" s="5">
        <v>0</v>
      </c>
      <c r="Q9" s="5">
        <v>8.2891846586399254E-3</v>
      </c>
      <c r="R9" s="5">
        <v>0</v>
      </c>
      <c r="S9" s="5">
        <v>0</v>
      </c>
      <c r="T9" s="5">
        <v>1.3462391044831712E-2</v>
      </c>
      <c r="U9" s="5">
        <v>8.2869578783444364E-3</v>
      </c>
      <c r="V9" s="5">
        <v>5.5630018859587071E-3</v>
      </c>
      <c r="W9" s="5">
        <v>1.5834391237460776E-2</v>
      </c>
      <c r="X9" s="5">
        <v>6.5525422077647999E-3</v>
      </c>
      <c r="Y9" s="5">
        <v>-5.2820256284018541E-3</v>
      </c>
      <c r="Z9" s="5">
        <v>7.7925572324799575E-4</v>
      </c>
      <c r="AA9" s="5">
        <v>0</v>
      </c>
      <c r="AB9" s="5">
        <v>0</v>
      </c>
      <c r="AC9" s="5">
        <v>9.1323719041691565E-3</v>
      </c>
      <c r="AD9" s="5">
        <v>0</v>
      </c>
      <c r="AE9" s="5">
        <v>6.7422244983135204E-3</v>
      </c>
      <c r="AF9" s="5">
        <v>0</v>
      </c>
      <c r="AG9" s="5">
        <v>1.4183708367048187E-3</v>
      </c>
      <c r="AH9" s="5">
        <v>4.0323428938140449E-3</v>
      </c>
      <c r="AI9" s="5">
        <v>-4.0004299887819172E-5</v>
      </c>
    </row>
    <row r="10" spans="1:35" x14ac:dyDescent="0.25">
      <c r="A10" s="10">
        <v>2015</v>
      </c>
      <c r="B10" s="5">
        <v>7.127908062224475E-2</v>
      </c>
      <c r="C10" s="5">
        <v>9.7233817428143299E-2</v>
      </c>
      <c r="D10" s="5">
        <v>-7.2659972373926296E-3</v>
      </c>
      <c r="E10" s="5">
        <v>0</v>
      </c>
      <c r="F10" s="5">
        <v>0</v>
      </c>
      <c r="G10" s="5">
        <v>0</v>
      </c>
      <c r="H10" s="5">
        <v>-2.5075537467771358E-3</v>
      </c>
      <c r="I10" s="5">
        <v>2.772734045211056E-4</v>
      </c>
      <c r="J10" s="5">
        <v>-2.2486362107329128E-2</v>
      </c>
      <c r="K10" s="5">
        <v>0</v>
      </c>
      <c r="L10" s="5">
        <v>-2.9404147078569975E-2</v>
      </c>
      <c r="M10" s="5">
        <v>0</v>
      </c>
      <c r="N10" s="5">
        <v>1.5335832166781582E-2</v>
      </c>
      <c r="O10" s="5">
        <v>2.6857329076206859E-2</v>
      </c>
      <c r="P10" s="5">
        <v>0</v>
      </c>
      <c r="Q10" s="5">
        <v>1.0328293210182249E-2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5.7327667331244614E-2</v>
      </c>
      <c r="Y10" s="5">
        <v>-1.0777128698054361E-2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4.1095799953329681E-2</v>
      </c>
      <c r="AI10" s="5">
        <v>0</v>
      </c>
    </row>
    <row r="11" spans="1:35" x14ac:dyDescent="0.25">
      <c r="A11" s="10">
        <v>2016</v>
      </c>
      <c r="B11" s="5">
        <v>0.10544860941519141</v>
      </c>
      <c r="C11" s="5">
        <v>0.206465388887205</v>
      </c>
      <c r="D11" s="5">
        <v>9.5350226829389984E-2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1.1825837431507225E-3</v>
      </c>
      <c r="L11" s="5">
        <v>0</v>
      </c>
      <c r="M11" s="5">
        <v>1.7456358776837932E-2</v>
      </c>
      <c r="N11" s="5">
        <v>0</v>
      </c>
      <c r="O11" s="5">
        <v>0</v>
      </c>
      <c r="P11" s="5">
        <v>1.5021542878322469E-2</v>
      </c>
      <c r="Q11" s="5">
        <v>0</v>
      </c>
      <c r="R11" s="5">
        <v>2.1560252983232608E-4</v>
      </c>
      <c r="S11" s="5">
        <v>6.7873510994567177E-3</v>
      </c>
      <c r="T11" s="5">
        <v>0</v>
      </c>
      <c r="U11" s="5">
        <v>0</v>
      </c>
      <c r="V11" s="5">
        <v>-1.8501485994497302E-2</v>
      </c>
      <c r="W11" s="5">
        <v>0</v>
      </c>
      <c r="X11" s="5">
        <v>0</v>
      </c>
      <c r="Y11" s="5">
        <v>0</v>
      </c>
      <c r="Z11" s="5">
        <v>0</v>
      </c>
      <c r="AA11" s="5">
        <v>9.3946183162347818E-3</v>
      </c>
      <c r="AB11" s="5">
        <v>1.0728439073559359E-2</v>
      </c>
      <c r="AC11" s="5">
        <v>0</v>
      </c>
      <c r="AD11" s="5">
        <v>2.8356962485182713E-2</v>
      </c>
      <c r="AE11" s="5">
        <v>0</v>
      </c>
      <c r="AF11" s="5">
        <v>3.443520113544829E-2</v>
      </c>
      <c r="AG11" s="5">
        <v>0</v>
      </c>
      <c r="AH11" s="5">
        <v>0</v>
      </c>
      <c r="AI11" s="5">
        <v>0</v>
      </c>
    </row>
    <row r="12" spans="1:35" x14ac:dyDescent="0.25">
      <c r="A12" s="10">
        <v>2017</v>
      </c>
      <c r="B12" s="5">
        <v>0.30684911449737529</v>
      </c>
      <c r="C12" s="5">
        <v>0.24416443224872642</v>
      </c>
      <c r="D12" s="5">
        <v>0.1941996551111187</v>
      </c>
      <c r="E12" s="5">
        <v>4.2799612442227186E-2</v>
      </c>
      <c r="F12" s="5">
        <v>4.7565827843125463E-2</v>
      </c>
      <c r="G12" s="5">
        <v>0</v>
      </c>
      <c r="H12" s="5">
        <v>3.2433875489991992E-2</v>
      </c>
      <c r="I12" s="5">
        <v>3.375865244426568E-2</v>
      </c>
      <c r="J12" s="5">
        <v>5.9693229396308611E-2</v>
      </c>
      <c r="K12" s="5">
        <v>0</v>
      </c>
      <c r="L12" s="5">
        <v>1.3104424274357207E-2</v>
      </c>
      <c r="M12" s="5">
        <v>0</v>
      </c>
      <c r="N12" s="5">
        <v>5.7321646351256028E-3</v>
      </c>
      <c r="O12" s="5">
        <v>-5.2142629440436794E-2</v>
      </c>
      <c r="P12" s="5">
        <v>0</v>
      </c>
      <c r="Q12" s="5">
        <v>2.5314349560810356E-2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6.9948348528748872E-2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</row>
    <row r="13" spans="1:35" x14ac:dyDescent="0.25">
      <c r="A13" s="10">
        <v>2018</v>
      </c>
      <c r="B13" s="5">
        <v>-3.0110276500199151E-2</v>
      </c>
      <c r="C13" s="5">
        <v>-4.8251620115358995E-2</v>
      </c>
      <c r="D13" s="5">
        <v>-6.2372598219684661E-2</v>
      </c>
      <c r="E13" s="5">
        <v>-4.126870358976964E-4</v>
      </c>
      <c r="F13" s="5">
        <v>3.2075884657765341E-2</v>
      </c>
      <c r="G13" s="5">
        <v>1.4181855329673088E-2</v>
      </c>
      <c r="H13" s="5">
        <v>-1.397677655278895E-2</v>
      </c>
      <c r="I13" s="5">
        <v>-2.2106281722631738E-2</v>
      </c>
      <c r="J13" s="5">
        <v>-1.4630630781266252E-2</v>
      </c>
      <c r="K13" s="5">
        <v>0</v>
      </c>
      <c r="L13" s="5">
        <v>1.6944662636333208E-2</v>
      </c>
      <c r="M13" s="5">
        <v>0</v>
      </c>
      <c r="N13" s="5">
        <v>4.3445433942363998E-3</v>
      </c>
      <c r="O13" s="5">
        <v>0</v>
      </c>
      <c r="P13" s="5">
        <v>0</v>
      </c>
      <c r="Q13" s="5">
        <v>-5.1410096996303833E-3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-2.405600542579156E-2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</row>
    <row r="14" spans="1:35" x14ac:dyDescent="0.25">
      <c r="A14" s="10">
        <v>2019</v>
      </c>
      <c r="B14" s="5">
        <v>0.29767096718168817</v>
      </c>
      <c r="C14" s="5">
        <v>0.29279893623991637</v>
      </c>
      <c r="D14" s="5">
        <v>0.28878070195643568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2.0322352292864165E-2</v>
      </c>
      <c r="N14" s="5">
        <v>0</v>
      </c>
      <c r="O14" s="5">
        <v>5.3480727552053242E-2</v>
      </c>
      <c r="P14" s="5">
        <v>1.6171625252789701E-2</v>
      </c>
      <c r="Q14" s="5">
        <v>0</v>
      </c>
      <c r="R14" s="5">
        <v>1.9536866589409785E-2</v>
      </c>
      <c r="S14" s="5">
        <v>1.3887104778838921E-2</v>
      </c>
      <c r="T14" s="5">
        <v>0</v>
      </c>
      <c r="U14" s="5">
        <v>0</v>
      </c>
      <c r="V14" s="5">
        <v>3.5631855129992784E-2</v>
      </c>
      <c r="W14" s="5">
        <v>0</v>
      </c>
      <c r="X14" s="5">
        <v>0</v>
      </c>
      <c r="Y14" s="5">
        <v>0</v>
      </c>
      <c r="Z14" s="5">
        <v>0</v>
      </c>
      <c r="AA14" s="5">
        <v>3.4902393003950927E-2</v>
      </c>
      <c r="AB14" s="5">
        <v>4.3512647318600939E-2</v>
      </c>
      <c r="AC14" s="5">
        <v>-5.8781524098933113E-3</v>
      </c>
      <c r="AD14" s="5">
        <v>3.9474089114432065E-2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</row>
    <row r="15" spans="1:35" x14ac:dyDescent="0.25">
      <c r="A15" s="10">
        <v>2020</v>
      </c>
      <c r="B15" s="5">
        <v>0.37766347120280974</v>
      </c>
      <c r="C15" s="5">
        <v>0.14619146217098655</v>
      </c>
      <c r="D15" s="5">
        <v>0.16258923055265706</v>
      </c>
      <c r="E15" s="5">
        <v>7.0103423009467702E-2</v>
      </c>
      <c r="F15" s="5">
        <v>6.441067439476611E-2</v>
      </c>
      <c r="G15" s="5">
        <v>-1.3981333882597258E-2</v>
      </c>
      <c r="H15" s="5">
        <v>-4.8454963776575211E-3</v>
      </c>
      <c r="I15" s="5">
        <v>4.3218142832197826E-2</v>
      </c>
      <c r="J15" s="5">
        <v>2.6578182607522427E-2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1.369491718892224E-4</v>
      </c>
      <c r="R15" s="5">
        <v>0</v>
      </c>
      <c r="S15" s="5">
        <v>0</v>
      </c>
      <c r="T15" s="5">
        <v>0</v>
      </c>
      <c r="U15" s="5">
        <v>3.8856737106184536E-2</v>
      </c>
      <c r="V15" s="5">
        <v>0</v>
      </c>
      <c r="W15" s="5">
        <v>0</v>
      </c>
      <c r="X15" s="5">
        <v>9.0764690477327159E-2</v>
      </c>
      <c r="Y15" s="5">
        <v>0</v>
      </c>
      <c r="Z15" s="5">
        <v>0</v>
      </c>
      <c r="AA15" s="5">
        <v>0</v>
      </c>
      <c r="AB15" s="5">
        <v>0</v>
      </c>
      <c r="AC15" s="5">
        <v>0</v>
      </c>
      <c r="AD15" s="5">
        <v>0</v>
      </c>
      <c r="AE15" s="5">
        <v>0</v>
      </c>
      <c r="AF15" s="5">
        <v>0</v>
      </c>
      <c r="AG15" s="5">
        <v>4.7394991388914454E-2</v>
      </c>
      <c r="AH15" s="5">
        <v>0</v>
      </c>
      <c r="AI15" s="5">
        <v>0</v>
      </c>
    </row>
    <row r="16" spans="1:35" x14ac:dyDescent="0.25">
      <c r="A16" s="10">
        <v>2021</v>
      </c>
      <c r="B16" s="5">
        <v>0.42620222128669316</v>
      </c>
      <c r="C16" s="5">
        <v>0.3128373178913384</v>
      </c>
      <c r="D16" s="5">
        <v>0.26892738679336081</v>
      </c>
      <c r="E16" s="5">
        <v>3.2687870608947289E-2</v>
      </c>
      <c r="F16" s="5">
        <v>3.8820264108465619E-3</v>
      </c>
      <c r="G16" s="5">
        <v>-1.2801084459588274E-3</v>
      </c>
      <c r="H16" s="5">
        <v>4.4679221783068046E-2</v>
      </c>
      <c r="I16" s="5">
        <v>2.6184440701553235E-2</v>
      </c>
      <c r="J16" s="5">
        <v>4.999799989025E-5</v>
      </c>
      <c r="K16" s="5">
        <v>0</v>
      </c>
      <c r="L16" s="5">
        <v>5.7026046438575229E-2</v>
      </c>
      <c r="M16" s="5">
        <v>0</v>
      </c>
      <c r="N16" s="5">
        <v>-9.8437807240618902E-3</v>
      </c>
      <c r="O16" s="5">
        <v>0</v>
      </c>
      <c r="P16" s="5">
        <v>0</v>
      </c>
      <c r="Q16" s="5">
        <v>1.4283073358299481E-2</v>
      </c>
      <c r="R16" s="5">
        <v>0</v>
      </c>
      <c r="S16" s="5">
        <v>0</v>
      </c>
      <c r="T16" s="5">
        <v>2.5979004183040999E-4</v>
      </c>
      <c r="U16" s="5">
        <v>0</v>
      </c>
      <c r="V16" s="5">
        <v>0</v>
      </c>
      <c r="W16" s="5">
        <v>0</v>
      </c>
      <c r="X16" s="5">
        <v>6.1125100576820968E-2</v>
      </c>
      <c r="Y16" s="5">
        <v>3.2593787472990687E-2</v>
      </c>
      <c r="Z16" s="5">
        <v>0</v>
      </c>
      <c r="AA16" s="5">
        <v>0</v>
      </c>
      <c r="AB16" s="5">
        <v>0</v>
      </c>
      <c r="AC16" s="5">
        <v>4.5643233003807016E-2</v>
      </c>
      <c r="AD16" s="5">
        <v>0</v>
      </c>
      <c r="AE16" s="5">
        <v>3.4165292331738151E-3</v>
      </c>
      <c r="AF16" s="5">
        <v>0</v>
      </c>
      <c r="AG16" s="5">
        <v>1.4827062397072321E-2</v>
      </c>
      <c r="AH16" s="5">
        <v>0</v>
      </c>
      <c r="AI16" s="5">
        <v>4.8298319340239315E-2</v>
      </c>
    </row>
    <row r="17" spans="1:35" x14ac:dyDescent="0.25">
      <c r="A17" s="10">
        <v>2022</v>
      </c>
      <c r="B17" s="5">
        <v>-4.5822042553406828E-2</v>
      </c>
      <c r="C17" s="5">
        <v>-1.8342083022249045E-2</v>
      </c>
      <c r="D17" s="5">
        <v>-0.19442827207126545</v>
      </c>
      <c r="E17" s="5">
        <v>-1.3564514429709407E-2</v>
      </c>
      <c r="F17" s="5">
        <v>-4.0025318976660507E-2</v>
      </c>
      <c r="G17" s="5">
        <v>2.8499572219198299E-4</v>
      </c>
      <c r="H17" s="5">
        <v>-9.2970381105094146E-3</v>
      </c>
      <c r="I17" s="5">
        <v>-1.5349651693416844E-2</v>
      </c>
      <c r="J17" s="5">
        <v>0</v>
      </c>
      <c r="K17" s="5">
        <v>0</v>
      </c>
      <c r="L17" s="5">
        <v>4.0201300666551143E-2</v>
      </c>
      <c r="M17" s="5">
        <v>0</v>
      </c>
      <c r="N17" s="5">
        <v>-3.6468802328386563E-2</v>
      </c>
      <c r="O17" s="5">
        <v>0</v>
      </c>
      <c r="P17" s="5">
        <v>0</v>
      </c>
      <c r="Q17" s="5">
        <v>-1.8089904266896939E-3</v>
      </c>
      <c r="R17" s="5">
        <v>0</v>
      </c>
      <c r="S17" s="5">
        <v>0</v>
      </c>
      <c r="T17" s="5">
        <v>-3.1121036120854706E-3</v>
      </c>
      <c r="U17" s="5">
        <v>0</v>
      </c>
      <c r="V17" s="5">
        <v>0</v>
      </c>
      <c r="W17" s="5">
        <v>0</v>
      </c>
      <c r="X17" s="5">
        <v>-2.4300914933185425E-2</v>
      </c>
      <c r="Y17" s="5">
        <v>6.8388313367934606E-2</v>
      </c>
      <c r="Z17" s="5">
        <v>0</v>
      </c>
      <c r="AA17" s="5">
        <v>0</v>
      </c>
      <c r="AB17" s="5">
        <v>0</v>
      </c>
      <c r="AC17" s="5">
        <v>-1.2158490750806106E-2</v>
      </c>
      <c r="AD17" s="5">
        <v>0</v>
      </c>
      <c r="AE17" s="5">
        <v>0</v>
      </c>
      <c r="AF17" s="5">
        <v>0</v>
      </c>
      <c r="AG17" s="5">
        <v>-4.1491971876956857E-3</v>
      </c>
      <c r="AH17" s="5">
        <v>0</v>
      </c>
      <c r="AI17" s="5">
        <v>5.1627397995149371E-2</v>
      </c>
    </row>
    <row r="18" spans="1:35" x14ac:dyDescent="0.25">
      <c r="A18" t="s">
        <v>35</v>
      </c>
      <c r="B18" s="9">
        <f>AVERAGE(B2:B17)</f>
        <v>0.15099058032775706</v>
      </c>
      <c r="C18" s="9">
        <f t="shared" ref="C18:D18" si="0">AVERAGE(C2:C17)</f>
        <v>0.14694262713732886</v>
      </c>
      <c r="D18" s="9">
        <f t="shared" si="0"/>
        <v>8.1408194924471045E-2</v>
      </c>
    </row>
    <row r="19" spans="1:35" x14ac:dyDescent="0.25">
      <c r="A19" t="s">
        <v>41</v>
      </c>
    </row>
  </sheetData>
  <conditionalFormatting sqref="E2:AI17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05C6B3AD6FE44FA236E809D256E700" ma:contentTypeVersion="14" ma:contentTypeDescription="Create a new document." ma:contentTypeScope="" ma:versionID="cdfe20b8bfc2af98e4d71a0e57bfe444">
  <xsd:schema xmlns:xsd="http://www.w3.org/2001/XMLSchema" xmlns:xs="http://www.w3.org/2001/XMLSchema" xmlns:p="http://schemas.microsoft.com/office/2006/metadata/properties" xmlns:ns3="e1b03e6d-8647-42d4-9a8a-d131a8bc63a3" xmlns:ns4="5e347b37-9e71-42ec-bfbf-4d832e707788" targetNamespace="http://schemas.microsoft.com/office/2006/metadata/properties" ma:root="true" ma:fieldsID="25cbe444cf05517a767f56ab67699850" ns3:_="" ns4:_="">
    <xsd:import namespace="e1b03e6d-8647-42d4-9a8a-d131a8bc63a3"/>
    <xsd:import namespace="5e347b37-9e71-42ec-bfbf-4d832e70778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_activity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b03e6d-8647-42d4-9a8a-d131a8bc63a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_activity" ma:index="20" nillable="true" ma:displayName="_activity" ma:hidden="true" ma:internalName="_activity">
      <xsd:simpleType>
        <xsd:restriction base="dms:Note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e347b37-9e71-42ec-bfbf-4d832e707788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e1b03e6d-8647-42d4-9a8a-d131a8bc63a3" xsi:nil="true"/>
  </documentManagement>
</p:properties>
</file>

<file path=customXml/itemProps1.xml><?xml version="1.0" encoding="utf-8"?>
<ds:datastoreItem xmlns:ds="http://schemas.openxmlformats.org/officeDocument/2006/customXml" ds:itemID="{FB5287AC-31EA-4A55-9004-C5DB1BFA780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b03e6d-8647-42d4-9a8a-d131a8bc63a3"/>
    <ds:schemaRef ds:uri="5e347b37-9e71-42ec-bfbf-4d832e7077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10D5720-4EDC-4DD0-B138-CC2A68AD4BA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A385834-CBC5-42AD-BD65-081AB7D6799E}">
  <ds:schemaRefs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terms/"/>
    <ds:schemaRef ds:uri="5e347b37-9e71-42ec-bfbf-4d832e707788"/>
    <ds:schemaRef ds:uri="e1b03e6d-8647-42d4-9a8a-d131a8bc63a3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portfolio_monthly_returns </vt:lpstr>
      <vt:lpstr>original data</vt:lpstr>
      <vt:lpstr>old</vt:lpstr>
      <vt:lpstr>annual returns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Guang</dc:creator>
  <cp:lastModifiedBy>Richard Guang</cp:lastModifiedBy>
  <dcterms:created xsi:type="dcterms:W3CDTF">2023-12-30T19:09:38Z</dcterms:created>
  <dcterms:modified xsi:type="dcterms:W3CDTF">2024-01-03T16:01:10Z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0x0101005905C6B3AD6FE44FA236E809D256E700</vt:lpwstr>
  </property>
</Properties>
</file>